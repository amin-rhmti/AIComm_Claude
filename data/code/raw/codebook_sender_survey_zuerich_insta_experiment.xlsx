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s\Original\AIComm\data\code\raw\"/>
    </mc:Choice>
  </mc:AlternateContent>
  <xr:revisionPtr revIDLastSave="0" documentId="13_ncr:1_{E19512C2-A2CC-4F32-8D09-23856DB8C596}" xr6:coauthVersionLast="47" xr6:coauthVersionMax="47" xr10:uidLastSave="{00000000-0000-0000-0000-000000000000}"/>
  <bookViews>
    <workbookView xWindow="12707" yWindow="-5680" windowWidth="25786" windowHeight="13867" tabRatio="500" activeTab="2" xr2:uid="{00000000-000D-0000-FFFF-FFFF00000000}"/>
  </bookViews>
  <sheets>
    <sheet name="Qualtrics" sheetId="1" r:id="rId1"/>
    <sheet name="Sample Definition" sheetId="2" r:id="rId2"/>
    <sheet name="NLP_Measurements" sheetId="3" r:id="rId3"/>
    <sheet name="Nice_Nam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H71" i="3" l="1"/>
  <c r="H72" i="3"/>
  <c r="H66" i="3"/>
  <c r="H67" i="3"/>
  <c r="H68" i="3"/>
  <c r="H69" i="3"/>
  <c r="H70"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H129" i="1"/>
  <c r="H128" i="1"/>
  <c r="H162" i="1"/>
  <c r="H161" i="1"/>
  <c r="H160" i="1"/>
  <c r="H159" i="1"/>
  <c r="H158" i="1"/>
  <c r="H154" i="1"/>
  <c r="H153" i="1"/>
  <c r="H152" i="1"/>
  <c r="H151" i="1"/>
  <c r="H150" i="1"/>
  <c r="H149" i="1"/>
  <c r="H148" i="1"/>
  <c r="H147" i="1"/>
  <c r="H146" i="1"/>
  <c r="H145" i="1"/>
  <c r="H144" i="1"/>
  <c r="H143" i="1"/>
  <c r="H142" i="1"/>
  <c r="H141" i="1"/>
  <c r="H134" i="1"/>
  <c r="H133" i="1"/>
  <c r="H131" i="1"/>
  <c r="H130" i="1"/>
  <c r="H125" i="1"/>
  <c r="H124" i="1"/>
  <c r="H122" i="1"/>
  <c r="H121" i="1"/>
  <c r="H120" i="1"/>
  <c r="H119" i="1"/>
  <c r="H118" i="1"/>
  <c r="H117" i="1"/>
  <c r="H116" i="1"/>
  <c r="H115" i="1"/>
  <c r="H114" i="1"/>
  <c r="H113" i="1"/>
  <c r="H112" i="1"/>
  <c r="H111"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59" i="1"/>
  <c r="H58" i="1"/>
  <c r="H57" i="1"/>
  <c r="H56" i="1"/>
  <c r="H55" i="1"/>
  <c r="H50" i="1"/>
  <c r="H49" i="1"/>
  <c r="H48" i="1"/>
  <c r="H47" i="1"/>
  <c r="H46" i="1"/>
  <c r="H45" i="1"/>
  <c r="H44" i="1"/>
  <c r="H43" i="1"/>
  <c r="H42" i="1"/>
  <c r="H41" i="1"/>
  <c r="H39" i="1"/>
  <c r="H38" i="1"/>
  <c r="H37" i="1"/>
  <c r="H36" i="1"/>
  <c r="H35" i="1"/>
  <c r="H34" i="1"/>
  <c r="H33" i="1"/>
  <c r="H32" i="1"/>
  <c r="H31" i="1"/>
  <c r="H30" i="1"/>
  <c r="H29" i="1"/>
  <c r="H28" i="1"/>
  <c r="H27" i="1"/>
  <c r="H26" i="1"/>
  <c r="H25" i="1"/>
  <c r="H24" i="1"/>
  <c r="H19" i="1"/>
  <c r="H18" i="1"/>
  <c r="H17" i="1"/>
  <c r="H16" i="1"/>
  <c r="H15" i="1"/>
  <c r="H14" i="1"/>
  <c r="H13" i="1"/>
  <c r="H12" i="1"/>
</calcChain>
</file>

<file path=xl/sharedStrings.xml><?xml version="1.0" encoding="utf-8"?>
<sst xmlns="http://schemas.openxmlformats.org/spreadsheetml/2006/main" count="837" uniqueCount="545">
  <si>
    <t>Variable name</t>
  </si>
  <si>
    <t>Original name</t>
  </si>
  <si>
    <t>Question detail</t>
  </si>
  <si>
    <t>Variable label</t>
  </si>
  <si>
    <t>Units</t>
  </si>
  <si>
    <t>Numerical (for spreadsheet only)</t>
  </si>
  <si>
    <t>Labels (for spreadsheet only)</t>
  </si>
  <si>
    <t>Values</t>
  </si>
  <si>
    <t>Experiment1</t>
  </si>
  <si>
    <t>Progress</t>
  </si>
  <si>
    <t>1 = 1</t>
  </si>
  <si>
    <t>IPAddress</t>
  </si>
  <si>
    <t>IP Address</t>
  </si>
  <si>
    <t>Duration</t>
  </si>
  <si>
    <t>Durationinseconds</t>
  </si>
  <si>
    <t>Duration (in seconds)</t>
  </si>
  <si>
    <t>SurveyVersion</t>
  </si>
  <si>
    <t>Survey version</t>
  </si>
  <si>
    <t>Finished</t>
  </si>
  <si>
    <t>Survey completed</t>
  </si>
  <si>
    <t>1 = True</t>
  </si>
  <si>
    <t>0 = False</t>
  </si>
  <si>
    <t>Age</t>
  </si>
  <si>
    <t>What is your age?</t>
  </si>
  <si>
    <t>Years</t>
  </si>
  <si>
    <t>Gender</t>
  </si>
  <si>
    <t>What gender do you most strongly identify with?</t>
  </si>
  <si>
    <t>Male</t>
  </si>
  <si>
    <t>1 = Male</t>
  </si>
  <si>
    <t>Female</t>
  </si>
  <si>
    <t>2 = Female</t>
  </si>
  <si>
    <t>Other/non-binary</t>
  </si>
  <si>
    <t>3 = Other/non-binary</t>
  </si>
  <si>
    <t>University</t>
  </si>
  <si>
    <t>Which university are you at?</t>
  </si>
  <si>
    <t>ETH</t>
  </si>
  <si>
    <t>UZH</t>
  </si>
  <si>
    <t>Other</t>
  </si>
  <si>
    <t>GradYear</t>
  </si>
  <si>
    <t>What is your anticipated year of graduation?</t>
  </si>
  <si>
    <t>2024 or earlier (already graduated)</t>
  </si>
  <si>
    <t>2028 or after</t>
  </si>
  <si>
    <t>Participate</t>
  </si>
  <si>
    <t>Please indicate below whether you agree to participate in the study. Agreeing to participate means you are willing to complete this survey.</t>
  </si>
  <si>
    <t>I agree to participate, and I promise to read the questions carefully and answer honestly</t>
  </si>
  <si>
    <t>1 = I agree to participate, and I promise to read the questions carefully and answer honestly</t>
  </si>
  <si>
    <t>I do not agree to participate, or I cannot promise to read the questions carefully and answer honestly</t>
  </si>
  <si>
    <t>0 = I do not agree to participate, or I cannot promise to read the questions carefully and answer honestly</t>
  </si>
  <si>
    <t>FirstName</t>
  </si>
  <si>
    <t xml:space="preserve">What is your first name? </t>
  </si>
  <si>
    <t>Text</t>
  </si>
  <si>
    <t>OriginCountry</t>
  </si>
  <si>
    <t>What is your country of origin?</t>
  </si>
  <si>
    <t>Education</t>
  </si>
  <si>
    <t>What level of education are you currently pursuing?</t>
  </si>
  <si>
    <t>ETHFaculty</t>
  </si>
  <si>
    <t>Bachelor's degree</t>
  </si>
  <si>
    <t>Master's degree</t>
  </si>
  <si>
    <t>PhD</t>
  </si>
  <si>
    <t>What faculty do you study in?</t>
  </si>
  <si>
    <t>Architecture and Civil Engineering</t>
  </si>
  <si>
    <t>Engineering Sciences</t>
  </si>
  <si>
    <t>Natural Sciences and Mathematics</t>
  </si>
  <si>
    <t>System-oriented Natural Sciences</t>
  </si>
  <si>
    <t>Management and Social Sciences</t>
  </si>
  <si>
    <t>UZHFaculty</t>
  </si>
  <si>
    <t>Faculty of Theology</t>
  </si>
  <si>
    <t>Faculty of Law</t>
  </si>
  <si>
    <t>Faculty of Business, Economics, and Informatics</t>
  </si>
  <si>
    <t>Faculty of Medicine</t>
  </si>
  <si>
    <t>Vetsuisse Faculty</t>
  </si>
  <si>
    <t>Faculty of Arts and Social Sciences</t>
  </si>
  <si>
    <t>Faculty of Science</t>
  </si>
  <si>
    <t>SwissPoliticalParty</t>
  </si>
  <si>
    <t>ClimateWorry</t>
  </si>
  <si>
    <t>How worried are you about climate change?</t>
  </si>
  <si>
    <t>Not at all worried</t>
  </si>
  <si>
    <t>Not very worried</t>
  </si>
  <si>
    <t>Moderately worried</t>
  </si>
  <si>
    <t>Very worried</t>
  </si>
  <si>
    <t>Extremely worried</t>
  </si>
  <si>
    <t>ClimatePersonal</t>
  </si>
  <si>
    <t>To what extent do you feel a personal responsibility to try to reduce climate change?</t>
  </si>
  <si>
    <t>Not at all responsible</t>
  </si>
  <si>
    <t>Slightly responsible</t>
  </si>
  <si>
    <t>Moderately responsible</t>
  </si>
  <si>
    <t>Very responsible</t>
  </si>
  <si>
    <t>Extremely responsible</t>
  </si>
  <si>
    <t>ClimateLong</t>
  </si>
  <si>
    <t>What do you think are the most serious consequences of climate change for Europe and the world?</t>
  </si>
  <si>
    <t>numLeavesClimLong</t>
  </si>
  <si>
    <t>totalTimeOffClimLong</t>
  </si>
  <si>
    <t>SocialMediaPlatform</t>
  </si>
  <si>
    <t>Which of the following social media platforms do you use?</t>
  </si>
  <si>
    <t>ImageConcern</t>
  </si>
  <si>
    <t>UseImageConcern</t>
  </si>
  <si>
    <t>How important is it to you that other people perceive you positively on social media?</t>
  </si>
  <si>
    <t>Not important at all</t>
  </si>
  <si>
    <t>Slightly important</t>
  </si>
  <si>
    <t>Moderately important</t>
  </si>
  <si>
    <t>Very important</t>
  </si>
  <si>
    <t>Extremely important</t>
  </si>
  <si>
    <t>Donation</t>
  </si>
  <si>
    <t>Donation amount to support climate change</t>
  </si>
  <si>
    <t>OrganizationChoice</t>
  </si>
  <si>
    <t>Which organization would you like to support?</t>
  </si>
  <si>
    <t>BotKnow</t>
  </si>
  <si>
    <t>How familiar are you with chatgpt and other gen-AI bots</t>
  </si>
  <si>
    <t>I am very familiar and use them frequently</t>
  </si>
  <si>
    <t>I am somewhat familiar and use them occasionally</t>
  </si>
  <si>
    <t>I am somewhat familiar but rarely use them</t>
  </si>
  <si>
    <t>I am aware of them but do not use them</t>
  </si>
  <si>
    <t>I am not familiar with them at all</t>
  </si>
  <si>
    <t>BotSupport_1</t>
  </si>
  <si>
    <t>When seeking customer support, what is your comfort with human users?</t>
  </si>
  <si>
    <t>Strongly prefer not</t>
  </si>
  <si>
    <t xml:space="preserve">Prefer not </t>
  </si>
  <si>
    <t>Indifferent</t>
  </si>
  <si>
    <t>Prefer</t>
  </si>
  <si>
    <t>Strongly prefer</t>
  </si>
  <si>
    <t>BotSupport_2</t>
  </si>
  <si>
    <t>When seeking customer support, what is your comfort with rule-based bots?</t>
  </si>
  <si>
    <t>BotSupport_3</t>
  </si>
  <si>
    <t>When seeking customer support, what is your comfort with gen-AI bots?</t>
  </si>
  <si>
    <t>BotSocialMedia_1</t>
  </si>
  <si>
    <t>On social media, what is your comfort with human users?</t>
  </si>
  <si>
    <t>BotSocialMedia_2</t>
  </si>
  <si>
    <t>On social media, what is your comfort with rule-based bots?</t>
  </si>
  <si>
    <t>BotSocialMedia_3</t>
  </si>
  <si>
    <t>On social media, what is your comfort with gen-AI bots?</t>
  </si>
  <si>
    <t>PostReact</t>
  </si>
  <si>
    <t>Like</t>
  </si>
  <si>
    <t>Dislike</t>
  </si>
  <si>
    <t>I would not react to this post</t>
  </si>
  <si>
    <t>InitialAIEffective</t>
  </si>
  <si>
    <t>How effective do you think Gen-AI bots are at producing persuasive messages?</t>
  </si>
  <si>
    <t>Not at all effective</t>
  </si>
  <si>
    <t>Slightly effective</t>
  </si>
  <si>
    <t>Moderately effective</t>
  </si>
  <si>
    <t>Very effective</t>
  </si>
  <si>
    <t>Extremely effective</t>
  </si>
  <si>
    <t>BaseAIDiff</t>
  </si>
  <si>
    <t>BaseAICopy</t>
  </si>
  <si>
    <t>How different do you think your writing feels compared to something generated by AI?</t>
  </si>
  <si>
    <t>Not at all different</t>
  </si>
  <si>
    <t>Slightly different</t>
  </si>
  <si>
    <t>Moderately different</t>
  </si>
  <si>
    <t>Very different</t>
  </si>
  <si>
    <t>Extremely different</t>
  </si>
  <si>
    <t>Chose</t>
  </si>
  <si>
    <t>Order of the reading posts</t>
  </si>
  <si>
    <t>ReadingReact1</t>
  </si>
  <si>
    <t>How would you react if you saw this post on social media?</t>
  </si>
  <si>
    <t>GuessWriterHuman</t>
  </si>
  <si>
    <t>What is your best guess for who wrote this text?</t>
  </si>
  <si>
    <t>Human</t>
  </si>
  <si>
    <t>Traditional rule-based bot</t>
  </si>
  <si>
    <t>Conversational Gen-AI bot</t>
  </si>
  <si>
    <t>ReadingReact2</t>
  </si>
  <si>
    <t>GuessWriterAI</t>
  </si>
  <si>
    <t>AttnCheck</t>
  </si>
  <si>
    <t>ProvideHandle</t>
  </si>
  <si>
    <t>We would like to offer you some additional payments. If you provide a valid Instagram handle, you will receive an additional entry into a CHF100 lottery. We will use the handle you provide to verify your account and check its authenticity before we send out payments. Are you interested in this offer?</t>
  </si>
  <si>
    <t>Yes</t>
  </si>
  <si>
    <t>No</t>
  </si>
  <si>
    <t>Handle</t>
  </si>
  <si>
    <t>What is your Instagram handle? Please provide the handle of the account that you use the most.</t>
  </si>
  <si>
    <t>TreatComp2</t>
  </si>
  <si>
    <t>Co-sender composition</t>
  </si>
  <si>
    <t>TreatSignaling</t>
  </si>
  <si>
    <t>Signaling treatment</t>
  </si>
  <si>
    <t>Identify</t>
  </si>
  <si>
    <t>Anonymous</t>
  </si>
  <si>
    <t>Identified</t>
  </si>
  <si>
    <t>TaskQuiz</t>
  </si>
  <si>
    <t>If there are 100 posts in the database, how many of them are AI-generated?</t>
  </si>
  <si>
    <t>TaskQuizCorrect</t>
  </si>
  <si>
    <t>Answered treatment composition correctly</t>
  </si>
  <si>
    <t>incorrect</t>
  </si>
  <si>
    <t>correct</t>
  </si>
  <si>
    <t>Post</t>
  </si>
  <si>
    <t>numLeavesPost</t>
  </si>
  <si>
    <t>totalTimeOffPost</t>
  </si>
  <si>
    <t>computerBid</t>
  </si>
  <si>
    <t>computerBid0</t>
  </si>
  <si>
    <t>WTP</t>
  </si>
  <si>
    <t>WTP1_4</t>
  </si>
  <si>
    <t>Respondent's bid to remove their post</t>
  </si>
  <si>
    <t>GenAIEffective</t>
  </si>
  <si>
    <t>GenAIEffective1</t>
  </si>
  <si>
    <t>Compared to ETH/UZH students, do you think Gen-AI bots are more or less effective at writing posts that attract likes from other students in Zurich?</t>
  </si>
  <si>
    <t>How effective is AI at writing posts that attract likes?</t>
  </si>
  <si>
    <t>More effective</t>
  </si>
  <si>
    <t>Equally effective</t>
  </si>
  <si>
    <t>Less effective</t>
  </si>
  <si>
    <t>Unsure</t>
  </si>
  <si>
    <t>PerceiveAI</t>
  </si>
  <si>
    <t>PerceiveHuman1</t>
  </si>
  <si>
    <t>If your post is selected for the Instagram ad, how likely do you think it is that the audience will perceive the quote as being AI-generated?</t>
  </si>
  <si>
    <t>How likely that quote is perceived as AI</t>
  </si>
  <si>
    <t>Very unlikely</t>
  </si>
  <si>
    <t>Somewhat unlikely</t>
  </si>
  <si>
    <t>Neutral</t>
  </si>
  <si>
    <t>Somewhat likely</t>
  </si>
  <si>
    <t>Very likely</t>
  </si>
  <si>
    <t>SignalValue</t>
  </si>
  <si>
    <t>SignalValue1</t>
  </si>
  <si>
    <t>How important is it to you that the audience perceives you positively?</t>
  </si>
  <si>
    <t>How important is it that the audience perceives you positively?</t>
  </si>
  <si>
    <t>PerceiveEngaged</t>
  </si>
  <si>
    <t>PerceivedEngaged</t>
  </si>
  <si>
    <t>How engaged do you think you will seem to the audience on issues of climate change?</t>
  </si>
  <si>
    <t>How engaged will you seem on issues of climate change?</t>
  </si>
  <si>
    <t>Very engaged</t>
  </si>
  <si>
    <t>Somewhat engaged</t>
  </si>
  <si>
    <t>Slightly disengaged</t>
  </si>
  <si>
    <t>Very disengaged</t>
  </si>
  <si>
    <t>WTPLongYes</t>
  </si>
  <si>
    <t>WTPLongYes1</t>
  </si>
  <si>
    <t>Could you explain why you want to pay to remove your post? What factors influenced your decision?</t>
  </si>
  <si>
    <t>WTPLongNo</t>
  </si>
  <si>
    <t>WTPLongNo1</t>
  </si>
  <si>
    <t>Could you explain why you do not want to pay to remove your post? What factors influenced your decision?</t>
  </si>
  <si>
    <t>StudyPurposeLong</t>
  </si>
  <si>
    <t>If you had to guess, what would you say our research project is about?</t>
  </si>
  <si>
    <t>What would you say the research project is about?</t>
  </si>
  <si>
    <t>GeneralFeedbackLong</t>
  </si>
  <si>
    <t>Thank you! We really appreciate you for participating in this research!
Make sure to click the next arrow to submit your survey responses. 
Let us know if you have any other feedback.</t>
  </si>
  <si>
    <t>General feedback</t>
  </si>
  <si>
    <t>Sample</t>
  </si>
  <si>
    <t>Description</t>
  </si>
  <si>
    <t>sample 2</t>
  </si>
  <si>
    <t>Passed attention check and Consented to participate*</t>
  </si>
  <si>
    <t>sample 3</t>
  </si>
  <si>
    <t>sample 4</t>
  </si>
  <si>
    <t>sample 5</t>
  </si>
  <si>
    <t>Shared Instagram handle</t>
  </si>
  <si>
    <t>sample 6</t>
  </si>
  <si>
    <t>Shared handle + Identified</t>
  </si>
  <si>
    <t>sample 7</t>
  </si>
  <si>
    <t>Shared handle + Anonymous</t>
  </si>
  <si>
    <t>sample 8</t>
  </si>
  <si>
    <t>Not Shared Instagram handle</t>
  </si>
  <si>
    <t>sample 9</t>
  </si>
  <si>
    <t>Not Shared Instagram+ Identified</t>
  </si>
  <si>
    <t>sample 10</t>
  </si>
  <si>
    <t>Not Shared Instagram+ Anonymous</t>
  </si>
  <si>
    <t>sample 11</t>
  </si>
  <si>
    <t>AI</t>
  </si>
  <si>
    <t>sample 12</t>
  </si>
  <si>
    <t>No AI</t>
  </si>
  <si>
    <t>* All other samples also have these two filter.</t>
  </si>
  <si>
    <t>sample 20</t>
  </si>
  <si>
    <t>Instagram Users</t>
  </si>
  <si>
    <t>sample 30</t>
  </si>
  <si>
    <t>Instagram Users + Identified</t>
  </si>
  <si>
    <t>sample 40</t>
  </si>
  <si>
    <t>Instagram Users + Anonymous</t>
  </si>
  <si>
    <t>sample 50 = sample 5</t>
  </si>
  <si>
    <t>Instagram Users + Shared handle</t>
  </si>
  <si>
    <t>sample 60 = sample 6</t>
  </si>
  <si>
    <t>Instagram Users + Shared handle + Identified</t>
  </si>
  <si>
    <t>sample 70 = sample 7</t>
  </si>
  <si>
    <t>Instagram Users + Shared handle + Anonymous</t>
  </si>
  <si>
    <t>sample 80</t>
  </si>
  <si>
    <t>Instagram Users + Not Shared handle</t>
  </si>
  <si>
    <t>sample 90</t>
  </si>
  <si>
    <t>Instagram Users + Not Shared handle + Identified</t>
  </si>
  <si>
    <t>sample 100</t>
  </si>
  <si>
    <t>Instagram Users + Not Shared handle + Anonymous</t>
  </si>
  <si>
    <t>sample 110</t>
  </si>
  <si>
    <t>Instagram Users + AI</t>
  </si>
  <si>
    <t>sample 120</t>
  </si>
  <si>
    <t>Instagram Users + No AI</t>
  </si>
  <si>
    <t>For the following response, assign a score of '0', '1' or '2' based on its emotional appeal (e.g., explicitly or implicitly express distinct emotions like fear, anger, hope, sadness, anxiety, hope, anger, guilt, sadness OR usage of dramatic wording meant to evoke strong feelings about climate change, etc.).</t>
  </si>
  <si>
    <t>For the following response, I have assigned a score of '1' out of {'0', '1', '2'} based on its emotional appeal (e.g., explicitly or implicitly express distinct emotions like fear, anger, hope, sadness, anxiety, etc.). If you disagree, assign a score of '0' or '2' based on its emotional appeal. If you agree with my score, just return '1', the original score.</t>
  </si>
  <si>
    <t>For the following response, assign a score of '0', '1' or '2' based on the ideological orientation of its proposed solutions or framing in a European political context. Assign '0' if it expresses right-wing positions (emphasis on market-based solutions, individual responsibility, voluntary action, technological innovation by private sector, minimal regulation), '1' if it is ideologically neutral or balanced (no clear ideological stance, or presents both market and regulatory approaches), and '2' if it expresses left-wing positions (emphasis on government regulation, collective action, social justice, wealth redistribution, strong climate mandates, or critique of capitalism/consumption).</t>
  </si>
  <si>
    <t>For the following response, count the total number of grammatical mistakes (e.g., spelling errors, nontraditional spellings like informal spellings like "gonna" or "u" for "you", etc.). Return the exact number of errors in a digit format like '2'.</t>
  </si>
  <si>
    <t>For the following response, assign a score of '0', '1' or '2' based on its overall sentiment. Assign '0' if it expresses negative sentiment (pessimistic tone, negative emotions, critical language), 1 if it is neutral (balanced, factual, no clear emotional valence), and 2 if it expresses positive sentiment (optimistic tone, positive emotions, encouraging language).</t>
  </si>
  <si>
    <t>For the following response, assign a score of '0', '1' or '2' based on its emphasis on collective action or systemic responses. Assign 0 if it doesn't emphasize collective action at all (focuses on individual actions or no action framing), 1 if it mentions collective action occasionally (one or two references to community, government, or group responses), and 2 if it strongly emphasizes collective action (multiple calls for systemic change, community organizing, or group-level interventions).</t>
  </si>
  <si>
    <t>For the following response, assign a score of '0', '1' or '2' based on whether it mentions or relates to artificial intelligence and its role in addressing climate change. Assign '0' if it contains no reference to AI, machine learning, algorithms, smart systems, automation, or intelligent technology, '1' if it contains brief or passing mention of AI/smart technology (e.g., "use smart thermostats," "AI could help," mentioned once without elaboration), and '2' if it significantly emphasizes AI or intelligent systems as solutions (multiple mentions, discusses specific AI applications like optimization algorithms, predictive models, smart grids, automated systems, or AI's potential role in detail).</t>
  </si>
  <si>
    <t>Final variable name</t>
  </si>
  <si>
    <t>Label for plots/tables</t>
  </si>
  <si>
    <t>Grad_degree</t>
  </si>
  <si>
    <t>Vote</t>
  </si>
  <si>
    <t>Switzerland</t>
  </si>
  <si>
    <t>Swiss</t>
  </si>
  <si>
    <t>Instagram_use</t>
  </si>
  <si>
    <t>Instagram User</t>
  </si>
  <si>
    <t>not_shared_handle</t>
  </si>
  <si>
    <t>Disclosure Concern</t>
  </si>
  <si>
    <t>Donation (CHF)</t>
  </si>
  <si>
    <t>index_Climate</t>
  </si>
  <si>
    <t>BotKnowBinary</t>
  </si>
  <si>
    <t>AIEffectiveBinary</t>
  </si>
  <si>
    <t>AIDiffBinary</t>
  </si>
  <si>
    <t>BotSupport_AI</t>
  </si>
  <si>
    <t>BotSocialMedia_AI</t>
  </si>
  <si>
    <t>WTPBinary_pos</t>
  </si>
  <si>
    <t>WTPBinary_p50</t>
  </si>
  <si>
    <t>TimePost</t>
  </si>
  <si>
    <t>TimePost_W</t>
  </si>
  <si>
    <t>TimeInstructionsPost</t>
  </si>
  <si>
    <t>TimeInstructionsPost_W</t>
  </si>
  <si>
    <t>TimeWTP</t>
  </si>
  <si>
    <t>TimeWTP_W</t>
  </si>
  <si>
    <t>TimeWTPExplain</t>
  </si>
  <si>
    <t>TimeWTPExplain_W</t>
  </si>
  <si>
    <t>index_ClimateBinary</t>
  </si>
  <si>
    <t>DonationBinary_p50</t>
  </si>
  <si>
    <t>DonationBinary_pos</t>
  </si>
  <si>
    <t>ImageConcernBinary_p50</t>
  </si>
  <si>
    <t>ImageConcernBinary2</t>
  </si>
  <si>
    <t>ImageConcernBinary3</t>
  </si>
  <si>
    <t>ImageConcernBinary4</t>
  </si>
  <si>
    <t>AgeBinary_p50</t>
  </si>
  <si>
    <t>Age Above Median</t>
  </si>
  <si>
    <t>AgeBinary_adult</t>
  </si>
  <si>
    <t>Age 25 Or Older</t>
  </si>
  <si>
    <t>index_Image_minus_privacy</t>
  </si>
  <si>
    <t>Image_minus_privacyBinary</t>
  </si>
  <si>
    <t>BotSupport_AIBinary</t>
  </si>
  <si>
    <t>BotSocialMedia_AIBinary</t>
  </si>
  <si>
    <t>ReadingReact1Binary</t>
  </si>
  <si>
    <t>ReadingReact2Binary</t>
  </si>
  <si>
    <t>GuessHuman_asHuman</t>
  </si>
  <si>
    <t>GuessAI_asHuman</t>
  </si>
  <si>
    <t>PostReactBinary</t>
  </si>
  <si>
    <t>Image Concern (1-5)</t>
  </si>
  <si>
    <t>Positive WTP</t>
  </si>
  <si>
    <t>Frequent AI User</t>
  </si>
  <si>
    <t>Writing Differently From AI</t>
  </si>
  <si>
    <t>A pool of four posts from 1 climate-conscious humans, and 3 GPT-powered Gen-AI bots</t>
  </si>
  <si>
    <t xml:space="preserve">A pool of four posts from 4 climate-conscious humans </t>
  </si>
  <si>
    <t xml:space="preserve">Guess a Human Writer </t>
  </si>
  <si>
    <t xml:space="preserve">Guess a AI Writer </t>
  </si>
  <si>
    <t>WTP to Remove Post (CHF)</t>
  </si>
  <si>
    <t>Notes</t>
  </si>
  <si>
    <t>Base_personal_anecdote</t>
  </si>
  <si>
    <t>Base_emotional_appeal</t>
  </si>
  <si>
    <t>Base_scientific_argument</t>
  </si>
  <si>
    <t>Base_moral_narratives</t>
  </si>
  <si>
    <t>Base_causal_narratives</t>
  </si>
  <si>
    <t>Image Concern Above 4 from 5</t>
  </si>
  <si>
    <t>Image Concern Above 3 from 5</t>
  </si>
  <si>
    <t>Outcomes</t>
  </si>
  <si>
    <t>Post_AIness</t>
  </si>
  <si>
    <t>(Human): They know it was human after they answered this question.</t>
  </si>
  <si>
    <t>LLM-scores counter-parts</t>
  </si>
  <si>
    <t>Binarized control variables for HTE Ciplots</t>
  </si>
  <si>
    <t xml:space="preserve"> Controls
(Ordered as global_variables_defining )</t>
  </si>
  <si>
    <t>Remaining hetergoenity
(Not included in the controls)</t>
  </si>
  <si>
    <t>Remaining variables 
(Just in case)</t>
  </si>
  <si>
    <t>Graduate Student</t>
  </si>
  <si>
    <t>Voted in Last Election</t>
  </si>
  <si>
    <t>Image Concern 2/5</t>
  </si>
  <si>
    <t>(Image - Disclosure) Index</t>
  </si>
  <si>
    <t>AI Familiarity (1-5)</t>
  </si>
  <si>
    <t>Climate Concern</t>
  </si>
  <si>
    <t>AI Persuasion (1-5)</t>
  </si>
  <si>
    <t>Customer Support Bot (1-5)</t>
  </si>
  <si>
    <t>Social Media Bot (1-5)</t>
  </si>
  <si>
    <t>Base AI Difference (1-5)</t>
  </si>
  <si>
    <t>Time on Post (s)</t>
  </si>
  <si>
    <t>Post Character Count</t>
  </si>
  <si>
    <t>Ln (Post Character Count)</t>
  </si>
  <si>
    <t>*All time-based metrics are reported in seconds (s) and Winsorized at the 1% level.</t>
  </si>
  <si>
    <t>Time on WTP (s)</t>
  </si>
  <si>
    <t>Time on WTP Instruction (s)</t>
  </si>
  <si>
    <t>Post Typo Count</t>
  </si>
  <si>
    <t xml:space="preserve">Base Typo Count </t>
  </si>
  <si>
    <t>Like Attraction by AI</t>
  </si>
  <si>
    <t>Post Perceived as AI</t>
  </si>
  <si>
    <t>Post Perceived Positively</t>
  </si>
  <si>
    <t>Post Degree of AI-ness</t>
  </si>
  <si>
    <t>Post Personal Anecdote</t>
  </si>
  <si>
    <t>Post Emotional Appeal</t>
  </si>
  <si>
    <t>Post Scientific Argument</t>
  </si>
  <si>
    <t>Post Perceived Engaged</t>
  </si>
  <si>
    <t>* How engaged do you think you’ll seem to the audience in issues of climate change?</t>
  </si>
  <si>
    <t>Base_typos_count</t>
  </si>
  <si>
    <t>Meaningful Post</t>
  </si>
  <si>
    <t>Base Emotional Appeal</t>
  </si>
  <si>
    <t>Base Moral Narratives</t>
  </si>
  <si>
    <t>Base Causal Narratives</t>
  </si>
  <si>
    <t>Base Personal Anecdote</t>
  </si>
  <si>
    <t>Base Scientific Argument</t>
  </si>
  <si>
    <t>Meaningful Base</t>
  </si>
  <si>
    <t>Post Moral Narratives</t>
  </si>
  <si>
    <t>Climate Concern Above Med.</t>
  </si>
  <si>
    <t>Donation Above Med.</t>
  </si>
  <si>
    <t>Donation Positive Amount</t>
  </si>
  <si>
    <t>Image Concern Above Med.</t>
  </si>
  <si>
    <t>(Image - Disclosure) Index Above Med.</t>
  </si>
  <si>
    <t>AI Persuasion</t>
  </si>
  <si>
    <t>Prefer Customer Support Bot</t>
  </si>
  <si>
    <t>Prefer AI On Social Media</t>
  </si>
  <si>
    <t>* Prefer or indifferenct</t>
  </si>
  <si>
    <t>* Prefer</t>
  </si>
  <si>
    <t>Reaction to Human Content</t>
  </si>
  <si>
    <t>Reaction to Pool Content</t>
  </si>
  <si>
    <t>Reaction to (Human) Content</t>
  </si>
  <si>
    <t>Post Causal Narratives</t>
  </si>
  <si>
    <t>Reacted to Human Content</t>
  </si>
  <si>
    <t>Reacted to Pool Content</t>
  </si>
  <si>
    <t>Reacted to (Human) Content</t>
  </si>
  <si>
    <t>Guess Human Content as Human</t>
  </si>
  <si>
    <t>Guess AI Content as Human</t>
  </si>
  <si>
    <t>Treatment Composition Correct</t>
  </si>
  <si>
    <t>Time on Post, Raw(s)</t>
  </si>
  <si>
    <t>Time on Post Instructions, Raw (s)</t>
  </si>
  <si>
    <t>Time on Post Instructions (s)</t>
  </si>
  <si>
    <t>Time on WTP, Raw (s)</t>
  </si>
  <si>
    <t>Time on WTP Instruction, Raw (s)</t>
  </si>
  <si>
    <t>WTP Above Med.</t>
  </si>
  <si>
    <t>** This is the longest label we adjust the tables/plots for.</t>
  </si>
  <si>
    <t>Level of education</t>
  </si>
  <si>
    <t>Text entry</t>
  </si>
  <si>
    <t>JS</t>
  </si>
  <si>
    <t>How would you react if you saw this post on your social media timeline?</t>
  </si>
  <si>
    <t>Some of us start closer to the finish line than others. Some individuals need a boost to get their lives back on track. It feels good to give when you are fortunate to have enough. Let's all do our part and donate to things that matter to us.</t>
  </si>
  <si>
    <t>A potential social media post, drawn from a pool of four posts from 4 climate-conscious humans.</t>
  </si>
  <si>
    <t>A potential social media post, drawn from a pool of four posts from 1 climate-conscious human, and 3 GPT-powered Gen-AI bots.</t>
  </si>
  <si>
    <t>Instagram handle</t>
  </si>
  <si>
    <t>Provided the Handle</t>
  </si>
  <si>
    <t>InstaHandle</t>
  </si>
  <si>
    <t>TimeSignaling1_PageSubmit</t>
  </si>
  <si>
    <t>Identified Treatment</t>
  </si>
  <si>
    <t>AI Treatment</t>
  </si>
  <si>
    <t>Please ignore the next question, and simply write "I read the instructions" in the box below.
Question: Please describe how you think AI is impacting your daily life.</t>
  </si>
  <si>
    <t>How can you and other students in Zurich contribute to combating climate change in their daily lives?</t>
  </si>
  <si>
    <t>Base</t>
  </si>
  <si>
    <t>Time on signaling instructions page (seconds)</t>
  </si>
  <si>
    <t>Time on post writing page (seconds)</t>
  </si>
  <si>
    <t>Time on WTP page (seconds)</t>
  </si>
  <si>
    <t>Time on WTP explanation page (seconds)</t>
  </si>
  <si>
    <t>TimeSignaling2_PageSubmit</t>
  </si>
  <si>
    <t>TimingWTP1_PageSubmit</t>
  </si>
  <si>
    <t>TimingWTPExplain1_PageSubmit</t>
  </si>
  <si>
    <t>Post_personal_anecdote</t>
  </si>
  <si>
    <t>For the following response, assign a score of '0', '1' or '2' based on explicit or implicit usage of personal anecdotes (e.g., personal experience, habit, or story using first-person language like 'I', 'me', 'my', 'my friends', 'my family', 'at our university', etc.). Note that '0' is the lowest score – No personal anecdote at all.</t>
  </si>
  <si>
    <t>Score 0/1/2 for personal anecdotes (explicit/implicit first-person experience/story: I/me/my, my friends/family, at our university, etc.). 0 = none.</t>
  </si>
  <si>
    <t>LLM</t>
  </si>
  <si>
    <t>None</t>
  </si>
  <si>
    <t>Low</t>
  </si>
  <si>
    <t>High</t>
  </si>
  <si>
    <t>Post_emotional_appeal</t>
  </si>
  <si>
    <t>Score 0/1/2 for emotional appeal (explicit/implicit emotions like fear/anger/hope/sadness/anxiety/guilt; dramatic wording to evoke strong feelings about climate change).</t>
  </si>
  <si>
    <t>Post_emotional_appeal_new</t>
  </si>
  <si>
    <t>Emotional appeal re-check: prior score=1 (0/1/2 scale). If disagree, assign 0 or 2; if agree, return 1.</t>
  </si>
  <si>
    <t>Post_scientific_argument</t>
  </si>
  <si>
    <t>For the following response, assign a score of '0', '1' or '2' based on scientific arguments (e.g., statistical arguments, data driven arguments, referring a study, methodological structure in the response, etc.). Note that '0' is the lowest score – No scientific argument at all.</t>
  </si>
  <si>
    <t>Score 0/1/2 for scientific arguments (statistics, data-driven claims, referring to a study, methodological/structured reasoning). 0 = none.</t>
  </si>
  <si>
    <t>Post_progressive_score</t>
  </si>
  <si>
    <t>Score 0/1/2 for European ideological orientation: 0 right-wing (market/individual responsibility/min regulation), 1 neutral/balanced, 2 left-wing (regulation/collective action/social justice/redistribution/strong mandates).</t>
  </si>
  <si>
    <t>Right-wing</t>
  </si>
  <si>
    <t>Left-wing</t>
  </si>
  <si>
    <t>Post_grammatical_mistakes</t>
  </si>
  <si>
    <t>Count total grammatical mistakes (spelling/grammar errors; includes informal spellings like gonna, u for you). Return an integer count.</t>
  </si>
  <si>
    <t>No errors</t>
  </si>
  <si>
    <t>Post_moral_narratives</t>
  </si>
  <si>
    <t>For the following response, assign a score of '0', '1' or '2' based on explicit or implicit usage of moral narratives (e.g., framing the issue using terms of right/wrong, duty, justice, fairness, or ethical responsibility, moral judgments, etc.). Note that '0' is the lowest score – No moral narratives at all.</t>
  </si>
  <si>
    <t>Score 0/1/2 for moral narratives (right/wrong, duty, justice, fairness, ethical responsibility, moral judgments). 0 = none.</t>
  </si>
  <si>
    <t>Post_causal_narratives</t>
  </si>
  <si>
    <t>For the following response, assign a score of '0', '1' or '2' based on its use of causal narratives (e.g., cause-effect relationships/mechanism, explanations of why things happen, structural logical relation of the clause as "A" causes/results in "B", etc.). Note that '0' is the lowest score – No causal narratives at all.</t>
  </si>
  <si>
    <t>Score 0/1/2 for causal narratives (cause-effect/mechanisms; A causes/results in B; explanatory structure). 0 = none.</t>
  </si>
  <si>
    <t>Post_sentiment</t>
  </si>
  <si>
    <t>Score 0/1/2 for overall sentiment: 0 negative (pessimistic/critical), 1 neutral (balanced/factual), 2 positive (optimistic/encouraging).</t>
  </si>
  <si>
    <t>Negative</t>
  </si>
  <si>
    <t>Positive</t>
  </si>
  <si>
    <t>Post_collective_action</t>
  </si>
  <si>
    <t>Score 0/1/2 for emphasis on collective/systemic action: 0 none, 1 occasional mentions (community/government/group), 2 strong emphasis (multiple calls for systemic change/organizing/group interventions).</t>
  </si>
  <si>
    <t>Occasional</t>
  </si>
  <si>
    <t>Strong</t>
  </si>
  <si>
    <t>Post_individual_action</t>
  </si>
  <si>
    <t>For the following response, assign a score of '0', '1' or '2' based on its emphasis on individual actions rather than collective actions. If the response mentions individual- or household-level actions that a person can take in daily life (e.g., using public transport, cycling, reducing flights, saving energy, reducing meat, recycling, buying second-hand, etc.), assign higher score. Note that '0' is the lowest score – No implicit or explicit mention of individual actions at all.</t>
  </si>
  <si>
    <t>Score 0/1/2 for emphasis on individual/household actions (public transport, cycling, fewer flights, save energy, reduce meat, recycle, second-hand, etc.). 0 = none.</t>
  </si>
  <si>
    <t>Post_local_focus</t>
  </si>
  <si>
    <t>For the following response, assign a score of '0', '1' or '2' based on its emphasis on Zurich, Switzerland, home town, home country, the local university, or the immediate local environment/community. Note that '0' is the lowest score – No implicit or explicit mention of local context.</t>
  </si>
  <si>
    <t>Score 0/1/2 for local focus (Zurich/Switzerland, home town/country, local university, immediate local community/environment). 0 = none.</t>
  </si>
  <si>
    <t>Post_global_focus</t>
  </si>
  <si>
    <t>For the following response, assign a score of '0', '1' or '2' based on its emphasis on Europe, other countries, or the world as a whole (e.g., 'globally', 'worldwide', 'in Europe', 'in poorer/richer countries', etc.). Note that '0' is the lowest score – No implicit or explicit related content to outside of the local country.</t>
  </si>
  <si>
    <t>Score 0/1/2 for global focus (Europe, other countries, worldwide/global framing). 0 = none.</t>
  </si>
  <si>
    <t>Post_policy_action</t>
  </si>
  <si>
    <t>For the following response, assign a score of '0', '1' or '2' based on its policy-related content (e.g., government policies, laws, regulations, taxes, subsidies, government/public programs at city, canton, national, or EU level, etc.) as ways to address climate change. Note that '0' is the lowest score – No policy related content at all.</t>
  </si>
  <si>
    <t>Score 0/1/2 for policy content (laws/regulations/taxes/subsidies/public programs at city/canton/national/EU levels). 0 = none.</t>
  </si>
  <si>
    <t>Post_economic_concern</t>
  </si>
  <si>
    <t>For the following response, assign a score of '0', '1' or '2' based on its economics content (e.g., discuss money, prices, taxes, financial costs, economic systems, etc.). Note that '0' is the lowest score – No economics related content at all.</t>
  </si>
  <si>
    <t>Score 0/1/2 for economic content (money, prices, taxes, financial costs, economic systems). 0 = none.</t>
  </si>
  <si>
    <t>Post_risk_consequence</t>
  </si>
  <si>
    <t>For the following response, assign a score of '0', '1' or '2' based on risk-related content (e.g., risks, harms, or consequences of climate changes like floods, fires, heatwaves, crop failures, sea level rise, health impacts, etc.). Note that '0' is the lowest score – No risk related content at all.</t>
  </si>
  <si>
    <t>Score 0/1/2 for risk/harms/consequences of climate change (floods, fires, heatwaves, crop failures, sea level rise, health impacts, etc.). 0 = none.</t>
  </si>
  <si>
    <t>Post_privacy_concern_guess</t>
  </si>
  <si>
    <t>Your task is to infer how concerned this person seems to be about PRIVACY, especially regarding online data and social media platforms such as Instagram (e.g., data collection, tracking, profiling, surveillance, targeted ads, exposure of personal information, digital footprint, etc.). Use the following scale to rate the person's IMPLIED PRIVACY CONCERN based ONLY on the content of their answer:
• '-1' = There is no IMPLICIT or Explicit information in the answer about privacy, data, surveillance, or social media risks.
• '0' = No or very low privacy concern
  The answer shows no indication of worrying about privacy.
  The person freely suggests or accepts the use of social media / digital tools / data collection without mentioning any downside for privacy.
• '1' = Moderate or implicit privacy concern
  The answer contains mild, indirect, or ambiguous signs of privacy concern.
  Example signals: mentions of "being careful what you share," wanting some control over data, mild concern about big tech or algorithms, but not very strong or emotional.
  Privacy is not the main theme, and Instagram / social media privacy may be mentioned only briefly or implicitly.
• '2' = Strong privacy concern
  The answer clearly expresses strong concern about privacy, especially related to social media (e.g., Instagram), apps, or online platforms.
  Example signals: worrying about surveillance, tracking, data misuse, profiling by companies or governments, fear of personal information leaking, avoiding or limiting social media because of privacy concerns, insistence on anonymity or strict control over what is shared.
  Privacy risks are a clear and important theme in the answer.
Important:
• The original question is about climate change. You should still look for any hints about privacy-related concern (both inside or outside the digital or social media realm).
• If the answer contains no information at all related to privacy, data, or social media, assign a score of '-1' by default.</t>
  </si>
  <si>
    <t>Inferred privacy concern score (-1/0/1/2): -1 no privacy-related info in answer, 0 none/low concern, 1 moderate/implicit concern (big tech/data sharing), 2 strong concern (surveillance/tracking/data misuse, especially re: Instagram/social media).</t>
  </si>
  <si>
    <t>No info</t>
  </si>
  <si>
    <t>None/Low</t>
  </si>
  <si>
    <t>Moderate</t>
  </si>
  <si>
    <t>Post_Image_concern_guess</t>
  </si>
  <si>
    <t>Your task is to infer how concerned this person seems to be about their IMAGE and how they are perceived by others, especially in a social or social-media context (e.g., wanting to look good, be admired, appear responsible, avoid judgment, manage their reputation on platforms like Instagram).
Focus on:
• How much they seem to care about what others think of them.
• Whether their answer sounds performative, reputation-seeking, or driven by social approval.
• Signals of self-presentation, virtue-signaling, or wanting to be seen as a "good" or "responsible" person.
• Any explicit or implicit references to social media, online image, or public perception.
Rate the person's IMPLIED IMAGE CONCERN using this scale:
• '-1' = There is no IMPLICIT or Explicit information in the answer about image, reputation, or how others see them.
• '0' = No or very low image concern
  The answer is straightforward, practical, or factual with no signs of worrying about how they look to others.
  No indication of wanting to impress, appear virtuous, or manage their public image.
  No references to reputation, social judgment, or social media image.
• '1' = Moderate or implicit image concern
  The answer contains mild or indirect signs that the person cares about how they are perceived.
  Example signals: wanting to "set a good example," mentioning what "people should think" or "what others will say," polite or socially desirable phrasing that hints at reputation but is not a dominant theme.
  They may describe actions that make them or their group look good, but without strong emphasis on image.
  Social media / Instagram may be mentioned, but not as a strong, central concern.
• '2' = Strong image concern
  The answer clearly suggests that reputation, social approval, or looking good to others is highly important.
  Example signals: emphasis on appearing responsible, being admired, being seen as moral or progressive, worrying about judgment from peers, caring about likes/followers, curating what is posted, or explicitly referencing how they "look" on Instagram or other platforms.
  Self-presentation, public perception, or social-media image is a clear theme in the answer.
Important:
• The original question is about climate change. Still, you should look for any hints that the respondent frames their actions or opinions in terms of how they will be seen by others (offline or online).
• If the answer contains no information related to image, reputation, social perception, etc. at all, assign a score of '-1' by default.</t>
  </si>
  <si>
    <t>Inferred image concern score (-1/0/1/2): -1 no image-related info in answer, 0 none/low concern, 1 moderate/implicit concern (setting good example), 2 strong concern (reputation-seeking, social approval, self-presentation on social media).</t>
  </si>
  <si>
    <t>Post_ai_technology</t>
  </si>
  <si>
    <t>Score 0/1/2 for AI/technology mentions in climate solutions: 0 none; 1 brief/passing mention (e.g., smart thermostats/AI could help); 2 substantial emphasis (multiple mentions, specific AI applications: optimization, prediction, smart grids, automation).</t>
  </si>
  <si>
    <t>Post_meaningfulness</t>
  </si>
  <si>
    <t>For the following response, assign a score of '0' or '1' for whether it is a meaningful, on-topic answer.
• 1 if the response is coherent and clearly related to climate change, the environment, or its consequences, even if it does not directly list specific actions the respondent can take. Treat any well-formed reflection, opinion, or description about climate change or its impacts as meaningful and return 1.
• 0 only if the response is empty, pure gibberish, or clearly unrelated to climate or the environment (e.g., random jokes, spam, etc.).</t>
  </si>
  <si>
    <t>Meaningfulness (0/1): 1 if coherent and on-topic to climate/environment/impacts (any well-formed reflection/opinion/description counts); 0 only if empty/gibberish/unrelated (jokes/spam).</t>
  </si>
  <si>
    <t>Meaningful</t>
  </si>
  <si>
    <t>Post_typos_count</t>
  </si>
  <si>
    <t>For the following response, count the total number of clear typographical errors: misspelled words, transposed letters (e.g., 'teh' for 'the'), omitted or duplicated letters, missing spaces, or repeated words. Do not count intentional informal spellings (e.g., 'u', 'gonna'), punctuation choices, or wrong-word grammatical errors (e.g., 'their' vs. 'there'). If there are no typos, the count is 0. Return the exact number of typos in a digit format like '2'.</t>
  </si>
  <si>
    <t>Count total typos (misspelled words, transposed/omitted letters, missing spaces, repeated words; exclude intentional informal spellings like 'u', 'gonna'). Return an integer count.</t>
  </si>
  <si>
    <t>Post_ai_likelihood</t>
  </si>
  <si>
    <t>For the following response, evaluate the likelihood that the text was generated by an AI. Keep in mind the context: humans taking surveys frequently write short, terse sentence fragments, bullet points, or unformatted keyword lists (e.g., 'floods, heat, migration') to save time. This brevity is a strong indicator of human writing, as AI tends to be overly verbose. Assign a score of '0', '1', '2', or '3': '0' = Definitely not AI (probability &lt; 5%; strong personal voice, typos, irregular grammar, OR terse, fragmented keyword lists/shorthand typical of quick survey answers). '1' = Low chance of AI (probability 5%-50%; brief but neat lists of concepts, or natural but formal flow without AI verbosity). '2' = High chance of AI (probability 50%-95%; overly balanced, formulaic paragraph structure, excessive transitions, or frequent use of AI vocabulary like 'delve', 'multifaceted', 'crucial'). '3' = Definitely AI (probability &gt; 95%; multiple strong AI markers, verbose disclaimer-style phrasing, exhaustive heavily-formatted lists with bolding/descriptions, and unnatural comprehensiveness). Return the exact score in a digit format like '2'.</t>
  </si>
  <si>
    <t>Score 0/1/2/3 for AI likelihood: 0 definitely not AI (&lt;5%), 1 low chance (5-50%), 2 high chance (50-95%), 3 definitely AI (&gt;95%). Human survey answers are often terse/fragmented; AI tends to be verbose and formulaic.</t>
  </si>
  <si>
    <t>Definitely not AI</t>
  </si>
  <si>
    <t>Low chance</t>
  </si>
  <si>
    <t>High chance</t>
  </si>
  <si>
    <t>Definitely AI</t>
  </si>
  <si>
    <t>Random computer bid (CHF); equals 0 (99%) or a random value in [0, 9.75] in 0.25 steps (1%); stored as expression string in raw data</t>
  </si>
  <si>
    <t>First-stage uniform draw (0–99) determining computer bid distribution; bid is non-zero only if equal to 99</t>
  </si>
  <si>
    <t>They must wrote: I read the instructions</t>
  </si>
  <si>
    <t xml:space="preserve">Post_fraction_ai </t>
  </si>
  <si>
    <t>Post_fraction_ai_assisted </t>
  </si>
  <si>
    <t>Post_fraction_human</t>
  </si>
  <si>
    <t>Fully Human Written</t>
  </si>
  <si>
    <t>Post_fraction_ai</t>
  </si>
  <si>
    <t>Post_fraction_ai_assisted</t>
  </si>
  <si>
    <t xml:space="preserve">Post_pangram_headline </t>
  </si>
  <si>
    <t>Post_pangram_headline</t>
  </si>
  <si>
    <t>Fully AI Generated</t>
  </si>
  <si>
    <t>AI Detected</t>
  </si>
  <si>
    <t>AI Assisted</t>
  </si>
  <si>
    <t>Pangram AI detection headline</t>
  </si>
  <si>
    <t>The proportion of the text that Pangram classifies as fully AI-generated.</t>
  </si>
  <si>
    <t>The proportion of the text that Pangram classifies as fully human-generated.</t>
  </si>
  <si>
    <t>The proportion classified as AI-assisted: text where a human likely used AI to help refine, rewrite, or polish their own writing (a co-authoring signal).</t>
  </si>
  <si>
    <t>Not meaningful/empty</t>
  </si>
  <si>
    <t>Post_TextLength</t>
  </si>
  <si>
    <t>Post_TextLength_log</t>
  </si>
  <si>
    <t>Post_AvgSentLen</t>
  </si>
  <si>
    <t>Post Average Sentence Length</t>
  </si>
  <si>
    <t>Base_meaningfulness</t>
  </si>
  <si>
    <t>Personal Climate Responsibility</t>
  </si>
  <si>
    <t>Worried about Climate</t>
  </si>
  <si>
    <t>Gender (Female)</t>
  </si>
  <si>
    <t>Completed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</si>
</sst>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8" x14ac:knownFonts="1">
    <font>
      <sz val="10"/>
      <name val="Arial"/>
      <charset val="1"/>
    </font>
    <font>
      <sz val="10"/>
      <name val="Ubuntu Mono"/>
      <family val="3"/>
    </font>
    <font>
      <b/>
      <sz val="11"/>
      <color rgb="FF000000"/>
      <name val="Calibri"/>
      <family val="2"/>
    </font>
    <font>
      <sz val="11"/>
      <color rgb="FF000000"/>
      <name val="Calibri"/>
      <family val="2"/>
    </font>
    <font>
      <sz val="10"/>
      <color rgb="FF000000"/>
      <name val="Calibri"/>
      <family val="2"/>
    </font>
    <font>
      <sz val="10"/>
      <name val="Arial"/>
      <family val="2"/>
    </font>
    <font>
      <b/>
      <sz val="11"/>
      <name val="Arial"/>
      <family val="2"/>
      <scheme val="major"/>
    </font>
    <font>
      <b/>
      <sz val="11"/>
      <name val="Arial"/>
      <family val="2"/>
    </font>
  </fonts>
  <fills count="7">
    <fill>
      <patternFill patternType="none"/>
    </fill>
    <fill>
      <patternFill patternType="gray125"/>
    </fill>
    <fill>
      <patternFill patternType="solid">
        <fgColor rgb="FFFFFFFF"/>
        <bgColor rgb="FFFFFFCC"/>
      </patternFill>
    </fill>
    <fill>
      <patternFill patternType="solid">
        <fgColor theme="0"/>
        <bgColor indexed="64"/>
      </patternFill>
    </fill>
    <fill>
      <patternFill patternType="solid">
        <fgColor rgb="FFFFFFFF"/>
        <bgColor rgb="FF000000"/>
      </patternFill>
    </fill>
    <fill>
      <patternFill patternType="solid">
        <fgColor rgb="FFE2EFDA"/>
        <bgColor rgb="FF000000"/>
      </patternFill>
    </fill>
    <fill>
      <patternFill patternType="solid">
        <fgColor theme="0"/>
        <bgColor rgb="FFFFFFCC"/>
      </patternFill>
    </fill>
  </fills>
  <borders count="1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31">
    <xf numFmtId="0" fontId="0" fillId="0" borderId="0" xfId="0"/>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3" fillId="5" borderId="3" xfId="0" applyFont="1" applyFill="1" applyBorder="1" applyAlignment="1">
      <alignment vertical="center"/>
    </xf>
    <xf numFmtId="0" fontId="3" fillId="4" borderId="4" xfId="0" applyFont="1" applyFill="1" applyBorder="1" applyAlignment="1">
      <alignment vertical="center"/>
    </xf>
    <xf numFmtId="0" fontId="3" fillId="4" borderId="5" xfId="0" applyFont="1" applyFill="1" applyBorder="1" applyAlignment="1">
      <alignment vertical="center"/>
    </xf>
    <xf numFmtId="0" fontId="3" fillId="5" borderId="8" xfId="0" applyFont="1" applyFill="1" applyBorder="1" applyAlignment="1">
      <alignment vertical="center"/>
    </xf>
    <xf numFmtId="0" fontId="3" fillId="4" borderId="9" xfId="0" applyFont="1" applyFill="1" applyBorder="1" applyAlignment="1">
      <alignment vertical="center"/>
    </xf>
    <xf numFmtId="0" fontId="3" fillId="4" borderId="10" xfId="0" applyFont="1" applyFill="1" applyBorder="1" applyAlignment="1">
      <alignment vertical="center"/>
    </xf>
    <xf numFmtId="0" fontId="3" fillId="5"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8" xfId="0" applyFont="1" applyFill="1" applyBorder="1" applyAlignment="1">
      <alignment horizontal="center" vertical="center"/>
    </xf>
    <xf numFmtId="0" fontId="3" fillId="5" borderId="3" xfId="0" applyFont="1" applyFill="1" applyBorder="1" applyAlignment="1">
      <alignment horizontal="left" vertical="center"/>
    </xf>
    <xf numFmtId="0" fontId="3" fillId="4" borderId="4" xfId="0" applyFont="1" applyFill="1" applyBorder="1" applyAlignment="1">
      <alignment horizontal="left" vertical="center"/>
    </xf>
    <xf numFmtId="0" fontId="3" fillId="4" borderId="5" xfId="0" applyFont="1" applyFill="1" applyBorder="1" applyAlignment="1">
      <alignment horizontal="left" vertical="center"/>
    </xf>
    <xf numFmtId="0" fontId="3" fillId="4" borderId="3" xfId="0" applyFont="1" applyFill="1" applyBorder="1" applyAlignment="1">
      <alignment horizontal="left" vertical="center"/>
    </xf>
    <xf numFmtId="0" fontId="3" fillId="5" borderId="4" xfId="0" applyFont="1" applyFill="1" applyBorder="1" applyAlignment="1">
      <alignment vertical="center"/>
    </xf>
    <xf numFmtId="0" fontId="2" fillId="4" borderId="7" xfId="0" applyFont="1" applyFill="1" applyBorder="1" applyAlignment="1">
      <alignment horizontal="center" vertical="center"/>
    </xf>
    <xf numFmtId="0" fontId="3" fillId="5" borderId="9" xfId="0" applyFont="1" applyFill="1" applyBorder="1" applyAlignment="1">
      <alignment vertical="center"/>
    </xf>
    <xf numFmtId="0" fontId="5" fillId="0" borderId="0" xfId="0" applyFont="1"/>
    <xf numFmtId="0" fontId="5" fillId="0" borderId="0" xfId="0" applyFont="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5" fillId="0" borderId="14" xfId="0" applyFont="1" applyBorder="1" applyAlignment="1">
      <alignment horizontal="left" vertical="center"/>
    </xf>
    <xf numFmtId="0" fontId="6" fillId="0" borderId="1" xfId="0" applyFont="1" applyBorder="1" applyAlignment="1">
      <alignment horizontal="center" vertical="center"/>
    </xf>
    <xf numFmtId="0" fontId="6" fillId="0" borderId="15" xfId="0" applyFont="1" applyBorder="1" applyAlignment="1">
      <alignment horizontal="center" vertical="center"/>
    </xf>
    <xf numFmtId="0" fontId="7" fillId="0" borderId="2" xfId="0" applyFont="1" applyBorder="1" applyAlignment="1">
      <alignment horizontal="center" vertical="center"/>
    </xf>
    <xf numFmtId="0" fontId="0" fillId="0" borderId="11" xfId="0" applyBorder="1" applyAlignment="1">
      <alignment horizontal="left" vertical="center"/>
    </xf>
    <xf numFmtId="0" fontId="0" fillId="0" borderId="12" xfId="0" applyBorder="1" applyAlignment="1">
      <alignment horizontal="left" vertical="center"/>
    </xf>
    <xf numFmtId="0" fontId="5" fillId="0" borderId="12" xfId="0" applyFont="1" applyBorder="1" applyAlignment="1">
      <alignment horizontal="left" vertical="center"/>
    </xf>
    <xf numFmtId="0" fontId="5" fillId="0" borderId="13" xfId="0" applyFont="1" applyBorder="1" applyAlignment="1">
      <alignment horizontal="left" vertical="center"/>
    </xf>
    <xf numFmtId="0" fontId="5" fillId="0" borderId="11" xfId="0" applyFont="1" applyBorder="1" applyAlignment="1">
      <alignment horizontal="left" vertical="center"/>
    </xf>
    <xf numFmtId="0" fontId="5" fillId="0" borderId="6" xfId="0" applyFont="1"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1" fillId="2" borderId="0" xfId="0" applyFont="1" applyFill="1" applyAlignment="1">
      <alignment horizontal="left" vertical="top" wrapText="1"/>
    </xf>
    <xf numFmtId="1" fontId="1" fillId="2" borderId="0" xfId="0" applyNumberFormat="1" applyFont="1" applyFill="1" applyAlignment="1">
      <alignment horizontal="left" vertical="top" wrapText="1"/>
    </xf>
    <xf numFmtId="0" fontId="1" fillId="0" borderId="0" xfId="0" applyFont="1" applyAlignment="1">
      <alignment horizontal="left" vertical="top" wrapText="1"/>
    </xf>
    <xf numFmtId="0" fontId="0" fillId="0" borderId="0" xfId="0" applyAlignment="1">
      <alignment horizontal="left"/>
    </xf>
    <xf numFmtId="0" fontId="1" fillId="0" borderId="0" xfId="0" applyFont="1" applyAlignment="1">
      <alignment horizontal="left" vertical="top"/>
    </xf>
    <xf numFmtId="0" fontId="6" fillId="2" borderId="0" xfId="0" applyFont="1" applyFill="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49" fontId="6" fillId="6" borderId="1" xfId="0" applyNumberFormat="1" applyFont="1" applyFill="1" applyBorder="1" applyAlignment="1">
      <alignment horizontal="left" vertical="center" wrapText="1"/>
    </xf>
    <xf numFmtId="49" fontId="6" fillId="6" borderId="15" xfId="0" applyNumberFormat="1" applyFont="1" applyFill="1" applyBorder="1" applyAlignment="1">
      <alignment horizontal="left" vertical="center" wrapText="1"/>
    </xf>
    <xf numFmtId="49" fontId="6" fillId="6" borderId="2" xfId="0" applyNumberFormat="1" applyFont="1" applyFill="1" applyBorder="1" applyAlignment="1">
      <alignment horizontal="left" vertical="center" wrapText="1"/>
    </xf>
    <xf numFmtId="49" fontId="1" fillId="6" borderId="1" xfId="0" applyNumberFormat="1" applyFont="1" applyFill="1" applyBorder="1" applyAlignment="1">
      <alignment horizontal="left" vertical="top" wrapText="1"/>
    </xf>
    <xf numFmtId="49" fontId="1" fillId="6" borderId="15" xfId="0" applyNumberFormat="1" applyFont="1" applyFill="1" applyBorder="1" applyAlignment="1">
      <alignment horizontal="left" vertical="top" wrapText="1"/>
    </xf>
    <xf numFmtId="0" fontId="1" fillId="6" borderId="15" xfId="0" applyFont="1" applyFill="1" applyBorder="1" applyAlignment="1">
      <alignment horizontal="left" vertical="top" wrapText="1"/>
    </xf>
    <xf numFmtId="1" fontId="1" fillId="6" borderId="2" xfId="0" applyNumberFormat="1" applyFont="1" applyFill="1" applyBorder="1" applyAlignment="1">
      <alignment horizontal="left" vertical="top" wrapText="1"/>
    </xf>
    <xf numFmtId="1" fontId="1" fillId="6" borderId="15" xfId="0" applyNumberFormat="1" applyFont="1" applyFill="1" applyBorder="1" applyAlignment="1">
      <alignment horizontal="left" vertical="top" wrapText="1"/>
    </xf>
    <xf numFmtId="49" fontId="1" fillId="6" borderId="11" xfId="0" applyNumberFormat="1" applyFont="1" applyFill="1" applyBorder="1" applyAlignment="1">
      <alignment horizontal="left" vertical="top" wrapText="1"/>
    </xf>
    <xf numFmtId="49" fontId="1" fillId="6" borderId="6" xfId="0" applyNumberFormat="1" applyFont="1" applyFill="1" applyBorder="1" applyAlignment="1">
      <alignment horizontal="left" vertical="top" wrapText="1"/>
    </xf>
    <xf numFmtId="0" fontId="1" fillId="6" borderId="6" xfId="0" applyFont="1" applyFill="1" applyBorder="1" applyAlignment="1">
      <alignment horizontal="left" vertical="top" wrapText="1"/>
    </xf>
    <xf numFmtId="1" fontId="1" fillId="6" borderId="6" xfId="0" applyNumberFormat="1" applyFont="1" applyFill="1" applyBorder="1" applyAlignment="1">
      <alignment horizontal="left" vertical="top" wrapText="1"/>
    </xf>
    <xf numFmtId="164" fontId="1" fillId="6" borderId="6" xfId="0" applyNumberFormat="1" applyFont="1" applyFill="1" applyBorder="1" applyAlignment="1">
      <alignment horizontal="left" vertical="top" wrapText="1"/>
    </xf>
    <xf numFmtId="1" fontId="1" fillId="6" borderId="3" xfId="0" applyNumberFormat="1" applyFont="1" applyFill="1" applyBorder="1" applyAlignment="1">
      <alignment horizontal="left" vertical="top" wrapText="1"/>
    </xf>
    <xf numFmtId="0" fontId="1" fillId="6" borderId="13" xfId="0" applyFont="1" applyFill="1" applyBorder="1" applyAlignment="1">
      <alignment horizontal="left" vertical="top" wrapText="1"/>
    </xf>
    <xf numFmtId="0" fontId="1" fillId="6" borderId="14" xfId="0" applyFont="1" applyFill="1" applyBorder="1" applyAlignment="1">
      <alignment horizontal="left" vertical="top" wrapText="1"/>
    </xf>
    <xf numFmtId="1" fontId="1" fillId="6" borderId="14" xfId="0" applyNumberFormat="1" applyFont="1" applyFill="1" applyBorder="1" applyAlignment="1">
      <alignment horizontal="left" vertical="top" wrapText="1"/>
    </xf>
    <xf numFmtId="164" fontId="1" fillId="6" borderId="14" xfId="0" applyNumberFormat="1" applyFont="1" applyFill="1" applyBorder="1" applyAlignment="1">
      <alignment horizontal="left" vertical="top" wrapText="1"/>
    </xf>
    <xf numFmtId="49" fontId="1" fillId="6" borderId="14" xfId="0" applyNumberFormat="1" applyFont="1" applyFill="1" applyBorder="1" applyAlignment="1">
      <alignment horizontal="left" vertical="top" wrapText="1"/>
    </xf>
    <xf numFmtId="1" fontId="1" fillId="6" borderId="5" xfId="0" applyNumberFormat="1" applyFont="1" applyFill="1" applyBorder="1" applyAlignment="1">
      <alignment horizontal="left" vertical="top" wrapText="1"/>
    </xf>
    <xf numFmtId="0" fontId="1" fillId="3" borderId="15"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6" borderId="0" xfId="0" applyFont="1" applyFill="1" applyAlignment="1">
      <alignment horizontal="left" vertical="top" wrapText="1"/>
    </xf>
    <xf numFmtId="1" fontId="1" fillId="6" borderId="0" xfId="0" applyNumberFormat="1" applyFont="1" applyFill="1" applyAlignment="1">
      <alignment horizontal="left" vertical="top" wrapText="1"/>
    </xf>
    <xf numFmtId="49" fontId="1" fillId="6" borderId="0" xfId="0" applyNumberFormat="1" applyFont="1" applyFill="1" applyAlignment="1">
      <alignment horizontal="left" vertical="top" wrapText="1"/>
    </xf>
    <xf numFmtId="1" fontId="1" fillId="6" borderId="4" xfId="0" applyNumberFormat="1" applyFont="1" applyFill="1" applyBorder="1" applyAlignment="1">
      <alignment horizontal="left" vertical="top" wrapText="1"/>
    </xf>
    <xf numFmtId="0" fontId="1" fillId="3" borderId="6"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13" xfId="0" applyFont="1" applyFill="1" applyBorder="1" applyAlignment="1">
      <alignment horizontal="left" vertical="top" wrapText="1"/>
    </xf>
    <xf numFmtId="0" fontId="1" fillId="3" borderId="14" xfId="0" applyFont="1" applyFill="1" applyBorder="1" applyAlignment="1">
      <alignment horizontal="left" vertical="top" wrapText="1"/>
    </xf>
    <xf numFmtId="0" fontId="1" fillId="3" borderId="11" xfId="0" applyFont="1" applyFill="1" applyBorder="1" applyAlignment="1">
      <alignment horizontal="left" vertical="top" wrapText="1"/>
    </xf>
    <xf numFmtId="49" fontId="1" fillId="6" borderId="13" xfId="0" applyNumberFormat="1" applyFont="1" applyFill="1" applyBorder="1" applyAlignment="1">
      <alignment horizontal="left" vertical="top" wrapText="1"/>
    </xf>
    <xf numFmtId="0" fontId="1" fillId="3" borderId="0" xfId="0" applyFont="1" applyFill="1" applyAlignment="1">
      <alignment horizontal="left" vertical="top" wrapText="1"/>
    </xf>
    <xf numFmtId="0" fontId="1" fillId="3" borderId="12"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2" xfId="0" applyFont="1" applyFill="1" applyBorder="1" applyAlignment="1">
      <alignment horizontal="left" vertical="top" wrapText="1"/>
    </xf>
    <xf numFmtId="1" fontId="1" fillId="6" borderId="12" xfId="0" applyNumberFormat="1" applyFont="1" applyFill="1" applyBorder="1" applyAlignment="1">
      <alignment horizontal="left" vertical="top" wrapText="1"/>
    </xf>
    <xf numFmtId="1" fontId="1" fillId="6" borderId="13" xfId="0" applyNumberFormat="1" applyFont="1" applyFill="1" applyBorder="1" applyAlignment="1">
      <alignment horizontal="left" vertical="top" wrapText="1"/>
    </xf>
    <xf numFmtId="0" fontId="1" fillId="6" borderId="1" xfId="0" applyFont="1" applyFill="1" applyBorder="1" applyAlignment="1">
      <alignment horizontal="left" vertical="top" wrapText="1"/>
    </xf>
    <xf numFmtId="0" fontId="1" fillId="6" borderId="11" xfId="0" applyFont="1" applyFill="1" applyBorder="1" applyAlignment="1">
      <alignment horizontal="left" vertical="top" wrapText="1"/>
    </xf>
    <xf numFmtId="0" fontId="1" fillId="3" borderId="1" xfId="0" applyFont="1" applyFill="1" applyBorder="1" applyAlignment="1">
      <alignment horizontal="left" vertical="top"/>
    </xf>
    <xf numFmtId="0" fontId="1" fillId="3" borderId="15" xfId="0" applyFont="1" applyFill="1" applyBorder="1" applyAlignment="1">
      <alignment horizontal="left" vertical="top"/>
    </xf>
    <xf numFmtId="0" fontId="1" fillId="3" borderId="2" xfId="0" applyFont="1" applyFill="1" applyBorder="1" applyAlignment="1">
      <alignment horizontal="left" vertical="top"/>
    </xf>
    <xf numFmtId="49" fontId="1" fillId="6" borderId="3" xfId="0" applyNumberFormat="1" applyFont="1" applyFill="1" applyBorder="1" applyAlignment="1">
      <alignment horizontal="left" vertical="top" wrapText="1"/>
    </xf>
    <xf numFmtId="49" fontId="1" fillId="6" borderId="5" xfId="0" applyNumberFormat="1" applyFont="1" applyFill="1" applyBorder="1" applyAlignment="1">
      <alignment horizontal="left" vertical="top" wrapText="1"/>
    </xf>
    <xf numFmtId="49" fontId="1" fillId="6" borderId="11" xfId="0" applyNumberFormat="1" applyFont="1" applyFill="1" applyBorder="1" applyAlignment="1">
      <alignment horizontal="left" vertical="center" wrapText="1"/>
    </xf>
    <xf numFmtId="49" fontId="1" fillId="6" borderId="6" xfId="0" applyNumberFormat="1" applyFont="1" applyFill="1" applyBorder="1" applyAlignment="1">
      <alignment horizontal="left" vertical="center" wrapText="1"/>
    </xf>
    <xf numFmtId="1" fontId="1" fillId="6" borderId="6" xfId="0" applyNumberFormat="1" applyFont="1" applyFill="1" applyBorder="1" applyAlignment="1">
      <alignment horizontal="left" vertical="center" wrapText="1"/>
    </xf>
    <xf numFmtId="1" fontId="1" fillId="6" borderId="3" xfId="0" applyNumberFormat="1" applyFont="1" applyFill="1" applyBorder="1" applyAlignment="1">
      <alignment horizontal="left" vertical="center" wrapText="1"/>
    </xf>
    <xf numFmtId="1" fontId="1" fillId="6" borderId="12" xfId="0" applyNumberFormat="1" applyFont="1" applyFill="1" applyBorder="1" applyAlignment="1">
      <alignment horizontal="left" vertical="center" wrapText="1"/>
    </xf>
    <xf numFmtId="1" fontId="1" fillId="6" borderId="0" xfId="0" applyNumberFormat="1" applyFont="1" applyFill="1" applyAlignment="1">
      <alignment horizontal="left" vertical="center" wrapText="1"/>
    </xf>
    <xf numFmtId="49" fontId="1" fillId="6" borderId="0" xfId="0" applyNumberFormat="1" applyFont="1" applyFill="1" applyAlignment="1">
      <alignment horizontal="left" vertical="center" wrapText="1"/>
    </xf>
    <xf numFmtId="1" fontId="1" fillId="6" borderId="4" xfId="0" applyNumberFormat="1" applyFont="1" applyFill="1" applyBorder="1" applyAlignment="1">
      <alignment horizontal="left" vertical="center" wrapText="1"/>
    </xf>
    <xf numFmtId="1" fontId="1" fillId="6" borderId="13" xfId="0" applyNumberFormat="1" applyFont="1" applyFill="1" applyBorder="1" applyAlignment="1">
      <alignment horizontal="left" vertical="center" wrapText="1"/>
    </xf>
    <xf numFmtId="1" fontId="1" fillId="6" borderId="14" xfId="0" applyNumberFormat="1" applyFont="1" applyFill="1" applyBorder="1" applyAlignment="1">
      <alignment horizontal="left" vertical="center" wrapText="1"/>
    </xf>
    <xf numFmtId="49" fontId="1" fillId="6" borderId="14" xfId="0" applyNumberFormat="1" applyFont="1" applyFill="1" applyBorder="1" applyAlignment="1">
      <alignment horizontal="left" vertical="center" wrapText="1"/>
    </xf>
    <xf numFmtId="1" fontId="1" fillId="6" borderId="5" xfId="0" applyNumberFormat="1" applyFont="1" applyFill="1" applyBorder="1" applyAlignment="1">
      <alignment horizontal="left" vertical="center" wrapText="1"/>
    </xf>
    <xf numFmtId="0" fontId="1" fillId="3" borderId="1" xfId="0" applyFont="1" applyFill="1" applyBorder="1" applyAlignment="1">
      <alignment horizontal="left" vertical="center"/>
    </xf>
    <xf numFmtId="0" fontId="1" fillId="3" borderId="15" xfId="0" applyFont="1" applyFill="1" applyBorder="1" applyAlignment="1">
      <alignment horizontal="left" vertical="center"/>
    </xf>
    <xf numFmtId="0" fontId="1" fillId="3" borderId="15" xfId="0" applyFont="1" applyFill="1" applyBorder="1" applyAlignment="1">
      <alignment horizontal="left" vertical="center" wrapText="1"/>
    </xf>
    <xf numFmtId="0" fontId="1" fillId="3" borderId="2" xfId="0" applyFont="1" applyFill="1" applyBorder="1" applyAlignment="1">
      <alignment horizontal="left" vertical="center"/>
    </xf>
    <xf numFmtId="49" fontId="1" fillId="6" borderId="15" xfId="0" applyNumberFormat="1" applyFont="1" applyFill="1" applyBorder="1" applyAlignment="1">
      <alignment horizontal="left" vertical="center" wrapText="1"/>
    </xf>
    <xf numFmtId="49" fontId="1" fillId="6" borderId="1" xfId="0" applyNumberFormat="1" applyFont="1" applyFill="1" applyBorder="1" applyAlignment="1">
      <alignment horizontal="left" vertical="center" wrapText="1"/>
    </xf>
    <xf numFmtId="1" fontId="1" fillId="6" borderId="15" xfId="0" applyNumberFormat="1" applyFont="1" applyFill="1" applyBorder="1" applyAlignment="1">
      <alignment horizontal="left" vertical="center" wrapText="1"/>
    </xf>
    <xf numFmtId="1" fontId="1" fillId="6" borderId="2"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11" xfId="0" applyFont="1" applyFill="1" applyBorder="1" applyAlignment="1">
      <alignment horizontal="left" vertical="center"/>
    </xf>
    <xf numFmtId="0" fontId="1" fillId="3" borderId="6" xfId="0" applyFont="1" applyFill="1" applyBorder="1" applyAlignment="1">
      <alignment horizontal="left" vertical="center"/>
    </xf>
    <xf numFmtId="0" fontId="1" fillId="3" borderId="3" xfId="0" applyFont="1" applyFill="1" applyBorder="1" applyAlignment="1">
      <alignment horizontal="left" vertical="center"/>
    </xf>
    <xf numFmtId="0" fontId="1" fillId="3" borderId="12" xfId="0" applyFont="1" applyFill="1" applyBorder="1" applyAlignment="1">
      <alignment horizontal="left" vertical="center"/>
    </xf>
    <xf numFmtId="0" fontId="1" fillId="3" borderId="0" xfId="0" applyFont="1" applyFill="1" applyAlignment="1">
      <alignment horizontal="left" vertical="center"/>
    </xf>
    <xf numFmtId="0" fontId="1" fillId="3" borderId="4" xfId="0" applyFont="1" applyFill="1" applyBorder="1" applyAlignment="1">
      <alignment horizontal="left" vertical="center"/>
    </xf>
    <xf numFmtId="0" fontId="1" fillId="3" borderId="13" xfId="0" applyFont="1" applyFill="1" applyBorder="1" applyAlignment="1">
      <alignment horizontal="left" vertical="center"/>
    </xf>
    <xf numFmtId="0" fontId="1" fillId="3" borderId="14" xfId="0" applyFont="1" applyFill="1" applyBorder="1" applyAlignment="1">
      <alignment horizontal="left" vertical="center"/>
    </xf>
    <xf numFmtId="0" fontId="1" fillId="3" borderId="5" xfId="0" applyFont="1" applyFill="1" applyBorder="1" applyAlignment="1">
      <alignment horizontal="left" vertical="center"/>
    </xf>
    <xf numFmtId="0" fontId="1" fillId="3" borderId="6" xfId="0" applyFont="1" applyFill="1" applyBorder="1" applyAlignment="1">
      <alignment horizontal="left" vertical="center" wrapText="1"/>
    </xf>
    <xf numFmtId="0" fontId="0" fillId="3" borderId="0" xfId="0" applyFill="1"/>
    <xf numFmtId="0" fontId="0" fillId="3" borderId="0" xfId="0" applyFill="1" applyAlignment="1">
      <alignment vertical="center"/>
    </xf>
    <xf numFmtId="49" fontId="6" fillId="6" borderId="2" xfId="0" applyNumberFormat="1" applyFont="1" applyFill="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4" fillId="4" borderId="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64"/>
  <sheetViews>
    <sheetView zoomScale="70" zoomScaleNormal="70" workbookViewId="0">
      <pane ySplit="1" topLeftCell="A146" activePane="bottomLeft" state="frozen"/>
      <selection pane="bottomLeft" activeCell="A92" sqref="A92"/>
    </sheetView>
  </sheetViews>
  <sheetFormatPr defaultColWidth="20.53515625" defaultRowHeight="12.45" x14ac:dyDescent="0.3"/>
  <cols>
    <col min="1" max="1" width="50.3046875" style="76" customWidth="1"/>
    <col min="2" max="2" width="50.53515625" style="38" customWidth="1"/>
    <col min="3" max="3" width="37.4609375" style="38" customWidth="1"/>
    <col min="4" max="4" width="20.3828125" style="38" customWidth="1"/>
    <col min="5" max="5" width="12.4609375" style="38" customWidth="1"/>
    <col min="6" max="6" width="37.3828125" style="38" customWidth="1"/>
    <col min="7" max="7" width="40.15234375" style="38" customWidth="1"/>
    <col min="8" max="8" width="38.4609375" style="38" customWidth="1"/>
    <col min="9" max="10" width="20.3828125" style="38" customWidth="1"/>
    <col min="11" max="1023" width="20.53515625" style="38"/>
    <col min="1024" max="1024" width="11.53515625" style="38" customWidth="1"/>
    <col min="1025" max="16384" width="20.53515625" style="39"/>
  </cols>
  <sheetData>
    <row r="1" spans="1:1024" s="43" customFormat="1" ht="20.05" customHeight="1" thickBot="1" x14ac:dyDescent="0.35">
      <c r="A1" s="44" t="s">
        <v>0</v>
      </c>
      <c r="B1" s="45" t="s">
        <v>1</v>
      </c>
      <c r="C1" s="45" t="s">
        <v>2</v>
      </c>
      <c r="D1" s="45" t="s">
        <v>3</v>
      </c>
      <c r="E1" s="45" t="s">
        <v>4</v>
      </c>
      <c r="F1" s="45" t="s">
        <v>5</v>
      </c>
      <c r="G1" s="45" t="s">
        <v>6</v>
      </c>
      <c r="H1" s="45" t="s">
        <v>7</v>
      </c>
      <c r="I1" s="46" t="s">
        <v>8</v>
      </c>
      <c r="J1" s="41"/>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c r="IT1" s="42"/>
      <c r="IU1" s="42"/>
      <c r="IV1" s="42"/>
      <c r="IW1" s="42"/>
      <c r="IX1" s="42"/>
      <c r="IY1" s="42"/>
      <c r="IZ1" s="42"/>
      <c r="JA1" s="42"/>
      <c r="JB1" s="42"/>
      <c r="JC1" s="42"/>
      <c r="JD1" s="42"/>
      <c r="JE1" s="42"/>
      <c r="JF1" s="42"/>
      <c r="JG1" s="42"/>
      <c r="JH1" s="42"/>
      <c r="JI1" s="42"/>
      <c r="JJ1" s="42"/>
      <c r="JK1" s="42"/>
      <c r="JL1" s="42"/>
      <c r="JM1" s="42"/>
      <c r="JN1" s="42"/>
      <c r="JO1" s="42"/>
      <c r="JP1" s="42"/>
      <c r="JQ1" s="42"/>
      <c r="JR1" s="42"/>
      <c r="JS1" s="42"/>
      <c r="JT1" s="42"/>
      <c r="JU1" s="42"/>
      <c r="JV1" s="42"/>
      <c r="JW1" s="42"/>
      <c r="JX1" s="42"/>
      <c r="JY1" s="42"/>
      <c r="JZ1" s="42"/>
      <c r="KA1" s="42"/>
      <c r="KB1" s="42"/>
      <c r="KC1" s="42"/>
      <c r="KD1" s="42"/>
      <c r="KE1" s="42"/>
      <c r="KF1" s="42"/>
      <c r="KG1" s="42"/>
      <c r="KH1" s="42"/>
      <c r="KI1" s="42"/>
      <c r="KJ1" s="42"/>
      <c r="KK1" s="42"/>
      <c r="KL1" s="42"/>
      <c r="KM1" s="42"/>
      <c r="KN1" s="42"/>
      <c r="KO1" s="42"/>
      <c r="KP1" s="42"/>
      <c r="KQ1" s="42"/>
      <c r="KR1" s="42"/>
      <c r="KS1" s="42"/>
      <c r="KT1" s="42"/>
      <c r="KU1" s="42"/>
      <c r="KV1" s="42"/>
      <c r="KW1" s="42"/>
      <c r="KX1" s="42"/>
      <c r="KY1" s="42"/>
      <c r="KZ1" s="42"/>
      <c r="LA1" s="42"/>
      <c r="LB1" s="42"/>
      <c r="LC1" s="42"/>
      <c r="LD1" s="42"/>
      <c r="LE1" s="42"/>
      <c r="LF1" s="42"/>
      <c r="LG1" s="42"/>
      <c r="LH1" s="42"/>
      <c r="LI1" s="42"/>
      <c r="LJ1" s="42"/>
      <c r="LK1" s="42"/>
      <c r="LL1" s="42"/>
      <c r="LM1" s="42"/>
      <c r="LN1" s="42"/>
      <c r="LO1" s="42"/>
      <c r="LP1" s="42"/>
      <c r="LQ1" s="42"/>
      <c r="LR1" s="42"/>
      <c r="LS1" s="42"/>
      <c r="LT1" s="42"/>
      <c r="LU1" s="42"/>
      <c r="LV1" s="42"/>
      <c r="LW1" s="42"/>
      <c r="LX1" s="42"/>
      <c r="LY1" s="42"/>
      <c r="LZ1" s="42"/>
      <c r="MA1" s="42"/>
      <c r="MB1" s="42"/>
      <c r="MC1" s="42"/>
      <c r="MD1" s="42"/>
      <c r="ME1" s="42"/>
      <c r="MF1" s="42"/>
      <c r="MG1" s="42"/>
      <c r="MH1" s="42"/>
      <c r="MI1" s="42"/>
      <c r="MJ1" s="42"/>
      <c r="MK1" s="42"/>
      <c r="ML1" s="42"/>
      <c r="MM1" s="42"/>
      <c r="MN1" s="42"/>
      <c r="MO1" s="42"/>
      <c r="MP1" s="42"/>
      <c r="MQ1" s="42"/>
      <c r="MR1" s="42"/>
      <c r="MS1" s="42"/>
      <c r="MT1" s="42"/>
      <c r="MU1" s="42"/>
      <c r="MV1" s="42"/>
      <c r="MW1" s="42"/>
      <c r="MX1" s="42"/>
      <c r="MY1" s="42"/>
      <c r="MZ1" s="42"/>
      <c r="NA1" s="42"/>
      <c r="NB1" s="42"/>
      <c r="NC1" s="42"/>
      <c r="ND1" s="42"/>
      <c r="NE1" s="42"/>
      <c r="NF1" s="42"/>
      <c r="NG1" s="42"/>
      <c r="NH1" s="42"/>
      <c r="NI1" s="42"/>
      <c r="NJ1" s="42"/>
      <c r="NK1" s="42"/>
      <c r="NL1" s="42"/>
      <c r="NM1" s="42"/>
      <c r="NN1" s="42"/>
      <c r="NO1" s="42"/>
      <c r="NP1" s="42"/>
      <c r="NQ1" s="42"/>
      <c r="NR1" s="42"/>
      <c r="NS1" s="42"/>
      <c r="NT1" s="42"/>
      <c r="NU1" s="42"/>
      <c r="NV1" s="42"/>
      <c r="NW1" s="42"/>
      <c r="NX1" s="42"/>
      <c r="NY1" s="42"/>
      <c r="NZ1" s="42"/>
      <c r="OA1" s="42"/>
      <c r="OB1" s="42"/>
      <c r="OC1" s="42"/>
      <c r="OD1" s="42"/>
      <c r="OE1" s="42"/>
      <c r="OF1" s="42"/>
      <c r="OG1" s="42"/>
      <c r="OH1" s="42"/>
      <c r="OI1" s="42"/>
      <c r="OJ1" s="42"/>
      <c r="OK1" s="42"/>
      <c r="OL1" s="42"/>
      <c r="OM1" s="42"/>
      <c r="ON1" s="42"/>
      <c r="OO1" s="42"/>
      <c r="OP1" s="42"/>
      <c r="OQ1" s="42"/>
      <c r="OR1" s="42"/>
      <c r="OS1" s="42"/>
      <c r="OT1" s="42"/>
      <c r="OU1" s="42"/>
      <c r="OV1" s="42"/>
      <c r="OW1" s="42"/>
      <c r="OX1" s="42"/>
      <c r="OY1" s="42"/>
      <c r="OZ1" s="42"/>
      <c r="PA1" s="42"/>
      <c r="PB1" s="42"/>
      <c r="PC1" s="42"/>
      <c r="PD1" s="42"/>
      <c r="PE1" s="42"/>
      <c r="PF1" s="42"/>
      <c r="PG1" s="42"/>
      <c r="PH1" s="42"/>
      <c r="PI1" s="42"/>
      <c r="PJ1" s="42"/>
      <c r="PK1" s="42"/>
      <c r="PL1" s="42"/>
      <c r="PM1" s="42"/>
      <c r="PN1" s="42"/>
      <c r="PO1" s="42"/>
      <c r="PP1" s="42"/>
      <c r="PQ1" s="42"/>
      <c r="PR1" s="42"/>
      <c r="PS1" s="42"/>
      <c r="PT1" s="42"/>
      <c r="PU1" s="42"/>
      <c r="PV1" s="42"/>
      <c r="PW1" s="42"/>
      <c r="PX1" s="42"/>
      <c r="PY1" s="42"/>
      <c r="PZ1" s="42"/>
      <c r="QA1" s="42"/>
      <c r="QB1" s="42"/>
      <c r="QC1" s="42"/>
      <c r="QD1" s="42"/>
      <c r="QE1" s="42"/>
      <c r="QF1" s="42"/>
      <c r="QG1" s="42"/>
      <c r="QH1" s="42"/>
      <c r="QI1" s="42"/>
      <c r="QJ1" s="42"/>
      <c r="QK1" s="42"/>
      <c r="QL1" s="42"/>
      <c r="QM1" s="42"/>
      <c r="QN1" s="42"/>
      <c r="QO1" s="42"/>
      <c r="QP1" s="42"/>
      <c r="QQ1" s="42"/>
      <c r="QR1" s="42"/>
      <c r="QS1" s="42"/>
      <c r="QT1" s="42"/>
      <c r="QU1" s="42"/>
      <c r="QV1" s="42"/>
      <c r="QW1" s="42"/>
      <c r="QX1" s="42"/>
      <c r="QY1" s="42"/>
      <c r="QZ1" s="42"/>
      <c r="RA1" s="42"/>
      <c r="RB1" s="42"/>
      <c r="RC1" s="42"/>
      <c r="RD1" s="42"/>
      <c r="RE1" s="42"/>
      <c r="RF1" s="42"/>
      <c r="RG1" s="42"/>
      <c r="RH1" s="42"/>
      <c r="RI1" s="42"/>
      <c r="RJ1" s="42"/>
      <c r="RK1" s="42"/>
      <c r="RL1" s="42"/>
      <c r="RM1" s="42"/>
      <c r="RN1" s="42"/>
      <c r="RO1" s="42"/>
      <c r="RP1" s="42"/>
      <c r="RQ1" s="42"/>
      <c r="RR1" s="42"/>
      <c r="RS1" s="42"/>
      <c r="RT1" s="42"/>
      <c r="RU1" s="42"/>
      <c r="RV1" s="42"/>
      <c r="RW1" s="42"/>
      <c r="RX1" s="42"/>
      <c r="RY1" s="42"/>
      <c r="RZ1" s="42"/>
      <c r="SA1" s="42"/>
      <c r="SB1" s="42"/>
      <c r="SC1" s="42"/>
      <c r="SD1" s="42"/>
      <c r="SE1" s="42"/>
      <c r="SF1" s="42"/>
      <c r="SG1" s="42"/>
      <c r="SH1" s="42"/>
      <c r="SI1" s="42"/>
      <c r="SJ1" s="42"/>
      <c r="SK1" s="42"/>
      <c r="SL1" s="42"/>
      <c r="SM1" s="42"/>
      <c r="SN1" s="42"/>
      <c r="SO1" s="42"/>
      <c r="SP1" s="42"/>
      <c r="SQ1" s="42"/>
      <c r="SR1" s="42"/>
      <c r="SS1" s="42"/>
      <c r="ST1" s="42"/>
      <c r="SU1" s="42"/>
      <c r="SV1" s="42"/>
      <c r="SW1" s="42"/>
      <c r="SX1" s="42"/>
      <c r="SY1" s="42"/>
      <c r="SZ1" s="42"/>
      <c r="TA1" s="42"/>
      <c r="TB1" s="42"/>
      <c r="TC1" s="42"/>
      <c r="TD1" s="42"/>
      <c r="TE1" s="42"/>
      <c r="TF1" s="42"/>
      <c r="TG1" s="42"/>
      <c r="TH1" s="42"/>
      <c r="TI1" s="42"/>
      <c r="TJ1" s="42"/>
      <c r="TK1" s="42"/>
      <c r="TL1" s="42"/>
      <c r="TM1" s="42"/>
      <c r="TN1" s="42"/>
      <c r="TO1" s="42"/>
      <c r="TP1" s="42"/>
      <c r="TQ1" s="42"/>
      <c r="TR1" s="42"/>
      <c r="TS1" s="42"/>
      <c r="TT1" s="42"/>
      <c r="TU1" s="42"/>
      <c r="TV1" s="42"/>
      <c r="TW1" s="42"/>
      <c r="TX1" s="42"/>
      <c r="TY1" s="42"/>
      <c r="TZ1" s="42"/>
      <c r="UA1" s="42"/>
      <c r="UB1" s="42"/>
      <c r="UC1" s="42"/>
      <c r="UD1" s="42"/>
      <c r="UE1" s="42"/>
      <c r="UF1" s="42"/>
      <c r="UG1" s="42"/>
      <c r="UH1" s="42"/>
      <c r="UI1" s="42"/>
      <c r="UJ1" s="42"/>
      <c r="UK1" s="42"/>
      <c r="UL1" s="42"/>
      <c r="UM1" s="42"/>
      <c r="UN1" s="42"/>
      <c r="UO1" s="42"/>
      <c r="UP1" s="42"/>
      <c r="UQ1" s="42"/>
      <c r="UR1" s="42"/>
      <c r="US1" s="42"/>
      <c r="UT1" s="42"/>
      <c r="UU1" s="42"/>
      <c r="UV1" s="42"/>
      <c r="UW1" s="42"/>
      <c r="UX1" s="42"/>
      <c r="UY1" s="42"/>
      <c r="UZ1" s="42"/>
      <c r="VA1" s="42"/>
      <c r="VB1" s="42"/>
      <c r="VC1" s="42"/>
      <c r="VD1" s="42"/>
      <c r="VE1" s="42"/>
      <c r="VF1" s="42"/>
      <c r="VG1" s="42"/>
      <c r="VH1" s="42"/>
      <c r="VI1" s="42"/>
      <c r="VJ1" s="42"/>
      <c r="VK1" s="42"/>
      <c r="VL1" s="42"/>
      <c r="VM1" s="42"/>
      <c r="VN1" s="42"/>
      <c r="VO1" s="42"/>
      <c r="VP1" s="42"/>
      <c r="VQ1" s="42"/>
      <c r="VR1" s="42"/>
      <c r="VS1" s="42"/>
      <c r="VT1" s="42"/>
      <c r="VU1" s="42"/>
      <c r="VV1" s="42"/>
      <c r="VW1" s="42"/>
      <c r="VX1" s="42"/>
      <c r="VY1" s="42"/>
      <c r="VZ1" s="42"/>
      <c r="WA1" s="42"/>
      <c r="WB1" s="42"/>
      <c r="WC1" s="42"/>
      <c r="WD1" s="42"/>
      <c r="WE1" s="42"/>
      <c r="WF1" s="42"/>
      <c r="WG1" s="42"/>
      <c r="WH1" s="42"/>
      <c r="WI1" s="42"/>
      <c r="WJ1" s="42"/>
      <c r="WK1" s="42"/>
      <c r="WL1" s="42"/>
      <c r="WM1" s="42"/>
      <c r="WN1" s="42"/>
      <c r="WO1" s="42"/>
      <c r="WP1" s="42"/>
      <c r="WQ1" s="42"/>
      <c r="WR1" s="42"/>
      <c r="WS1" s="42"/>
      <c r="WT1" s="42"/>
      <c r="WU1" s="42"/>
      <c r="WV1" s="42"/>
      <c r="WW1" s="42"/>
      <c r="WX1" s="42"/>
      <c r="WY1" s="42"/>
      <c r="WZ1" s="42"/>
      <c r="XA1" s="42"/>
      <c r="XB1" s="42"/>
      <c r="XC1" s="42"/>
      <c r="XD1" s="42"/>
      <c r="XE1" s="42"/>
      <c r="XF1" s="42"/>
      <c r="XG1" s="42"/>
      <c r="XH1" s="42"/>
      <c r="XI1" s="42"/>
      <c r="XJ1" s="42"/>
      <c r="XK1" s="42"/>
      <c r="XL1" s="42"/>
      <c r="XM1" s="42"/>
      <c r="XN1" s="42"/>
      <c r="XO1" s="42"/>
      <c r="XP1" s="42"/>
      <c r="XQ1" s="42"/>
      <c r="XR1" s="42"/>
      <c r="XS1" s="42"/>
      <c r="XT1" s="42"/>
      <c r="XU1" s="42"/>
      <c r="XV1" s="42"/>
      <c r="XW1" s="42"/>
      <c r="XX1" s="42"/>
      <c r="XY1" s="42"/>
      <c r="XZ1" s="42"/>
      <c r="YA1" s="42"/>
      <c r="YB1" s="42"/>
      <c r="YC1" s="42"/>
      <c r="YD1" s="42"/>
      <c r="YE1" s="42"/>
      <c r="YF1" s="42"/>
      <c r="YG1" s="42"/>
      <c r="YH1" s="42"/>
      <c r="YI1" s="42"/>
      <c r="YJ1" s="42"/>
      <c r="YK1" s="42"/>
      <c r="YL1" s="42"/>
      <c r="YM1" s="42"/>
      <c r="YN1" s="42"/>
      <c r="YO1" s="42"/>
      <c r="YP1" s="42"/>
      <c r="YQ1" s="42"/>
      <c r="YR1" s="42"/>
      <c r="YS1" s="42"/>
      <c r="YT1" s="42"/>
      <c r="YU1" s="42"/>
      <c r="YV1" s="42"/>
      <c r="YW1" s="42"/>
      <c r="YX1" s="42"/>
      <c r="YY1" s="42"/>
      <c r="YZ1" s="42"/>
      <c r="ZA1" s="42"/>
      <c r="ZB1" s="42"/>
      <c r="ZC1" s="42"/>
      <c r="ZD1" s="42"/>
      <c r="ZE1" s="42"/>
      <c r="ZF1" s="42"/>
      <c r="ZG1" s="42"/>
      <c r="ZH1" s="42"/>
      <c r="ZI1" s="42"/>
      <c r="ZJ1" s="42"/>
      <c r="ZK1" s="42"/>
      <c r="ZL1" s="42"/>
      <c r="ZM1" s="42"/>
      <c r="ZN1" s="42"/>
      <c r="ZO1" s="42"/>
      <c r="ZP1" s="42"/>
      <c r="ZQ1" s="42"/>
      <c r="ZR1" s="42"/>
      <c r="ZS1" s="42"/>
      <c r="ZT1" s="42"/>
      <c r="ZU1" s="42"/>
      <c r="ZV1" s="42"/>
      <c r="ZW1" s="42"/>
      <c r="ZX1" s="42"/>
      <c r="ZY1" s="42"/>
      <c r="ZZ1" s="42"/>
      <c r="AAA1" s="42"/>
      <c r="AAB1" s="42"/>
      <c r="AAC1" s="42"/>
      <c r="AAD1" s="42"/>
      <c r="AAE1" s="42"/>
      <c r="AAF1" s="42"/>
      <c r="AAG1" s="42"/>
      <c r="AAH1" s="42"/>
      <c r="AAI1" s="42"/>
      <c r="AAJ1" s="42"/>
      <c r="AAK1" s="42"/>
      <c r="AAL1" s="42"/>
      <c r="AAM1" s="42"/>
      <c r="AAN1" s="42"/>
      <c r="AAO1" s="42"/>
      <c r="AAP1" s="42"/>
      <c r="AAQ1" s="42"/>
      <c r="AAR1" s="42"/>
      <c r="AAS1" s="42"/>
      <c r="AAT1" s="42"/>
      <c r="AAU1" s="42"/>
      <c r="AAV1" s="42"/>
      <c r="AAW1" s="42"/>
      <c r="AAX1" s="42"/>
      <c r="AAY1" s="42"/>
      <c r="AAZ1" s="42"/>
      <c r="ABA1" s="42"/>
      <c r="ABB1" s="42"/>
      <c r="ABC1" s="42"/>
      <c r="ABD1" s="42"/>
      <c r="ABE1" s="42"/>
      <c r="ABF1" s="42"/>
      <c r="ABG1" s="42"/>
      <c r="ABH1" s="42"/>
      <c r="ABI1" s="42"/>
      <c r="ABJ1" s="42"/>
      <c r="ABK1" s="42"/>
      <c r="ABL1" s="42"/>
      <c r="ABM1" s="42"/>
      <c r="ABN1" s="42"/>
      <c r="ABO1" s="42"/>
      <c r="ABP1" s="42"/>
      <c r="ABQ1" s="42"/>
      <c r="ABR1" s="42"/>
      <c r="ABS1" s="42"/>
      <c r="ABT1" s="42"/>
      <c r="ABU1" s="42"/>
      <c r="ABV1" s="42"/>
      <c r="ABW1" s="42"/>
      <c r="ABX1" s="42"/>
      <c r="ABY1" s="42"/>
      <c r="ABZ1" s="42"/>
      <c r="ACA1" s="42"/>
      <c r="ACB1" s="42"/>
      <c r="ACC1" s="42"/>
      <c r="ACD1" s="42"/>
      <c r="ACE1" s="42"/>
      <c r="ACF1" s="42"/>
      <c r="ACG1" s="42"/>
      <c r="ACH1" s="42"/>
      <c r="ACI1" s="42"/>
      <c r="ACJ1" s="42"/>
      <c r="ACK1" s="42"/>
      <c r="ACL1" s="42"/>
      <c r="ACM1" s="42"/>
      <c r="ACN1" s="42"/>
      <c r="ACO1" s="42"/>
      <c r="ACP1" s="42"/>
      <c r="ACQ1" s="42"/>
      <c r="ACR1" s="42"/>
      <c r="ACS1" s="42"/>
      <c r="ACT1" s="42"/>
      <c r="ACU1" s="42"/>
      <c r="ACV1" s="42"/>
      <c r="ACW1" s="42"/>
      <c r="ACX1" s="42"/>
      <c r="ACY1" s="42"/>
      <c r="ACZ1" s="42"/>
      <c r="ADA1" s="42"/>
      <c r="ADB1" s="42"/>
      <c r="ADC1" s="42"/>
      <c r="ADD1" s="42"/>
      <c r="ADE1" s="42"/>
      <c r="ADF1" s="42"/>
      <c r="ADG1" s="42"/>
      <c r="ADH1" s="42"/>
      <c r="ADI1" s="42"/>
      <c r="ADJ1" s="42"/>
      <c r="ADK1" s="42"/>
      <c r="ADL1" s="42"/>
      <c r="ADM1" s="42"/>
      <c r="ADN1" s="42"/>
      <c r="ADO1" s="42"/>
      <c r="ADP1" s="42"/>
      <c r="ADQ1" s="42"/>
      <c r="ADR1" s="42"/>
      <c r="ADS1" s="42"/>
      <c r="ADT1" s="42"/>
      <c r="ADU1" s="42"/>
      <c r="ADV1" s="42"/>
      <c r="ADW1" s="42"/>
      <c r="ADX1" s="42"/>
      <c r="ADY1" s="42"/>
      <c r="ADZ1" s="42"/>
      <c r="AEA1" s="42"/>
      <c r="AEB1" s="42"/>
      <c r="AEC1" s="42"/>
      <c r="AED1" s="42"/>
      <c r="AEE1" s="42"/>
      <c r="AEF1" s="42"/>
      <c r="AEG1" s="42"/>
      <c r="AEH1" s="42"/>
      <c r="AEI1" s="42"/>
      <c r="AEJ1" s="42"/>
      <c r="AEK1" s="42"/>
      <c r="AEL1" s="42"/>
      <c r="AEM1" s="42"/>
      <c r="AEN1" s="42"/>
      <c r="AEO1" s="42"/>
      <c r="AEP1" s="42"/>
      <c r="AEQ1" s="42"/>
      <c r="AER1" s="42"/>
      <c r="AES1" s="42"/>
      <c r="AET1" s="42"/>
      <c r="AEU1" s="42"/>
      <c r="AEV1" s="42"/>
      <c r="AEW1" s="42"/>
      <c r="AEX1" s="42"/>
      <c r="AEY1" s="42"/>
      <c r="AEZ1" s="42"/>
      <c r="AFA1" s="42"/>
      <c r="AFB1" s="42"/>
      <c r="AFC1" s="42"/>
      <c r="AFD1" s="42"/>
      <c r="AFE1" s="42"/>
      <c r="AFF1" s="42"/>
      <c r="AFG1" s="42"/>
      <c r="AFH1" s="42"/>
      <c r="AFI1" s="42"/>
      <c r="AFJ1" s="42"/>
      <c r="AFK1" s="42"/>
      <c r="AFL1" s="42"/>
      <c r="AFM1" s="42"/>
      <c r="AFN1" s="42"/>
      <c r="AFO1" s="42"/>
      <c r="AFP1" s="42"/>
      <c r="AFQ1" s="42"/>
      <c r="AFR1" s="42"/>
      <c r="AFS1" s="42"/>
      <c r="AFT1" s="42"/>
      <c r="AFU1" s="42"/>
      <c r="AFV1" s="42"/>
      <c r="AFW1" s="42"/>
      <c r="AFX1" s="42"/>
      <c r="AFY1" s="42"/>
      <c r="AFZ1" s="42"/>
      <c r="AGA1" s="42"/>
      <c r="AGB1" s="42"/>
      <c r="AGC1" s="42"/>
      <c r="AGD1" s="42"/>
      <c r="AGE1" s="42"/>
      <c r="AGF1" s="42"/>
      <c r="AGG1" s="42"/>
      <c r="AGH1" s="42"/>
      <c r="AGI1" s="42"/>
      <c r="AGJ1" s="42"/>
      <c r="AGK1" s="42"/>
      <c r="AGL1" s="42"/>
      <c r="AGM1" s="42"/>
      <c r="AGN1" s="42"/>
      <c r="AGO1" s="42"/>
      <c r="AGP1" s="42"/>
      <c r="AGQ1" s="42"/>
      <c r="AGR1" s="42"/>
      <c r="AGS1" s="42"/>
      <c r="AGT1" s="42"/>
      <c r="AGU1" s="42"/>
      <c r="AGV1" s="42"/>
      <c r="AGW1" s="42"/>
      <c r="AGX1" s="42"/>
      <c r="AGY1" s="42"/>
      <c r="AGZ1" s="42"/>
      <c r="AHA1" s="42"/>
      <c r="AHB1" s="42"/>
      <c r="AHC1" s="42"/>
      <c r="AHD1" s="42"/>
      <c r="AHE1" s="42"/>
      <c r="AHF1" s="42"/>
      <c r="AHG1" s="42"/>
      <c r="AHH1" s="42"/>
      <c r="AHI1" s="42"/>
      <c r="AHJ1" s="42"/>
      <c r="AHK1" s="42"/>
      <c r="AHL1" s="42"/>
      <c r="AHM1" s="42"/>
      <c r="AHN1" s="42"/>
      <c r="AHO1" s="42"/>
      <c r="AHP1" s="42"/>
      <c r="AHQ1" s="42"/>
      <c r="AHR1" s="42"/>
      <c r="AHS1" s="42"/>
      <c r="AHT1" s="42"/>
      <c r="AHU1" s="42"/>
      <c r="AHV1" s="42"/>
      <c r="AHW1" s="42"/>
      <c r="AHX1" s="42"/>
      <c r="AHY1" s="42"/>
      <c r="AHZ1" s="42"/>
      <c r="AIA1" s="42"/>
      <c r="AIB1" s="42"/>
      <c r="AIC1" s="42"/>
      <c r="AID1" s="42"/>
      <c r="AIE1" s="42"/>
      <c r="AIF1" s="42"/>
      <c r="AIG1" s="42"/>
      <c r="AIH1" s="42"/>
      <c r="AII1" s="42"/>
      <c r="AIJ1" s="42"/>
      <c r="AIK1" s="42"/>
      <c r="AIL1" s="42"/>
      <c r="AIM1" s="42"/>
      <c r="AIN1" s="42"/>
      <c r="AIO1" s="42"/>
      <c r="AIP1" s="42"/>
      <c r="AIQ1" s="42"/>
      <c r="AIR1" s="42"/>
      <c r="AIS1" s="42"/>
      <c r="AIT1" s="42"/>
      <c r="AIU1" s="42"/>
      <c r="AIV1" s="42"/>
      <c r="AIW1" s="42"/>
      <c r="AIX1" s="42"/>
      <c r="AIY1" s="42"/>
      <c r="AIZ1" s="42"/>
      <c r="AJA1" s="42"/>
      <c r="AJB1" s="42"/>
      <c r="AJC1" s="42"/>
      <c r="AJD1" s="42"/>
      <c r="AJE1" s="42"/>
      <c r="AJF1" s="42"/>
      <c r="AJG1" s="42"/>
      <c r="AJH1" s="42"/>
      <c r="AJI1" s="42"/>
      <c r="AJJ1" s="42"/>
      <c r="AJK1" s="42"/>
      <c r="AJL1" s="42"/>
      <c r="AJM1" s="42"/>
      <c r="AJN1" s="42"/>
      <c r="AJO1" s="42"/>
      <c r="AJP1" s="42"/>
      <c r="AJQ1" s="42"/>
      <c r="AJR1" s="42"/>
      <c r="AJS1" s="42"/>
      <c r="AJT1" s="42"/>
      <c r="AJU1" s="42"/>
      <c r="AJV1" s="42"/>
      <c r="AJW1" s="42"/>
      <c r="AJX1" s="42"/>
      <c r="AJY1" s="42"/>
      <c r="AJZ1" s="42"/>
      <c r="AKA1" s="42"/>
      <c r="AKB1" s="42"/>
      <c r="AKC1" s="42"/>
      <c r="AKD1" s="42"/>
      <c r="AKE1" s="42"/>
      <c r="AKF1" s="42"/>
      <c r="AKG1" s="42"/>
      <c r="AKH1" s="42"/>
      <c r="AKI1" s="42"/>
      <c r="AKJ1" s="42"/>
      <c r="AKK1" s="42"/>
      <c r="AKL1" s="42"/>
      <c r="AKM1" s="42"/>
      <c r="AKN1" s="42"/>
      <c r="AKO1" s="42"/>
      <c r="AKP1" s="42"/>
      <c r="AKQ1" s="42"/>
      <c r="AKR1" s="42"/>
      <c r="AKS1" s="42"/>
      <c r="AKT1" s="42"/>
      <c r="AKU1" s="42"/>
      <c r="AKV1" s="42"/>
      <c r="AKW1" s="42"/>
      <c r="AKX1" s="42"/>
      <c r="AKY1" s="42"/>
      <c r="AKZ1" s="42"/>
      <c r="ALA1" s="42"/>
      <c r="ALB1" s="42"/>
      <c r="ALC1" s="42"/>
      <c r="ALD1" s="42"/>
      <c r="ALE1" s="42"/>
      <c r="ALF1" s="42"/>
      <c r="ALG1" s="42"/>
      <c r="ALH1" s="42"/>
      <c r="ALI1" s="42"/>
      <c r="ALJ1" s="42"/>
      <c r="ALK1" s="42"/>
      <c r="ALL1" s="42"/>
      <c r="ALM1" s="42"/>
      <c r="ALN1" s="42"/>
      <c r="ALO1" s="42"/>
      <c r="ALP1" s="42"/>
      <c r="ALQ1" s="42"/>
      <c r="ALR1" s="42"/>
      <c r="ALS1" s="42"/>
      <c r="ALT1" s="42"/>
      <c r="ALU1" s="42"/>
      <c r="ALV1" s="42"/>
      <c r="ALW1" s="42"/>
      <c r="ALX1" s="42"/>
      <c r="ALY1" s="42"/>
      <c r="ALZ1" s="42"/>
      <c r="AMA1" s="42"/>
      <c r="AMB1" s="42"/>
      <c r="AMC1" s="42"/>
      <c r="AMD1" s="42"/>
      <c r="AME1" s="42"/>
      <c r="AMF1" s="42"/>
      <c r="AMG1" s="42"/>
      <c r="AMH1" s="42"/>
      <c r="AMI1" s="42"/>
      <c r="AMJ1" s="42"/>
    </row>
    <row r="2" spans="1:1024" ht="20.05" customHeight="1" thickBot="1" x14ac:dyDescent="0.35">
      <c r="A2" s="47" t="s">
        <v>9</v>
      </c>
      <c r="B2" s="48" t="s">
        <v>9</v>
      </c>
      <c r="C2" s="49"/>
      <c r="D2" s="48" t="s">
        <v>9</v>
      </c>
      <c r="E2" s="49"/>
      <c r="F2" s="49"/>
      <c r="G2" s="49"/>
      <c r="H2" s="49" t="s">
        <v>10</v>
      </c>
      <c r="I2" s="50">
        <v>1</v>
      </c>
      <c r="J2" s="37"/>
    </row>
    <row r="3" spans="1:1024" ht="20.05" customHeight="1" thickBot="1" x14ac:dyDescent="0.35">
      <c r="A3" s="47" t="s">
        <v>11</v>
      </c>
      <c r="B3" s="48" t="s">
        <v>11</v>
      </c>
      <c r="C3" s="49"/>
      <c r="D3" s="48" t="s">
        <v>12</v>
      </c>
      <c r="E3" s="49"/>
      <c r="F3" s="49"/>
      <c r="G3" s="49"/>
      <c r="H3" s="49"/>
      <c r="I3" s="50">
        <v>1</v>
      </c>
      <c r="J3" s="37"/>
    </row>
    <row r="4" spans="1:1024" ht="20.05" customHeight="1" thickBot="1" x14ac:dyDescent="0.35">
      <c r="A4" s="47" t="s">
        <v>13</v>
      </c>
      <c r="B4" s="48" t="s">
        <v>14</v>
      </c>
      <c r="C4" s="49"/>
      <c r="D4" s="48" t="s">
        <v>15</v>
      </c>
      <c r="E4" s="51"/>
      <c r="F4" s="51">
        <v>1</v>
      </c>
      <c r="G4" s="51">
        <v>1</v>
      </c>
      <c r="H4" s="51" t="s">
        <v>10</v>
      </c>
      <c r="I4" s="50">
        <v>1</v>
      </c>
      <c r="J4" s="36"/>
    </row>
    <row r="5" spans="1:1024" ht="20.05" customHeight="1" thickBot="1" x14ac:dyDescent="0.35">
      <c r="A5" s="47" t="s">
        <v>16</v>
      </c>
      <c r="B5" s="48" t="s">
        <v>16</v>
      </c>
      <c r="C5" s="49"/>
      <c r="D5" s="48" t="s">
        <v>17</v>
      </c>
      <c r="E5" s="51"/>
      <c r="F5" s="51"/>
      <c r="G5" s="51"/>
      <c r="H5" s="51"/>
      <c r="I5" s="50">
        <v>1</v>
      </c>
      <c r="J5" s="36"/>
    </row>
    <row r="6" spans="1:1024" ht="20.05" customHeight="1" x14ac:dyDescent="0.3">
      <c r="A6" s="52" t="s">
        <v>18</v>
      </c>
      <c r="B6" s="53" t="s">
        <v>18</v>
      </c>
      <c r="C6" s="54"/>
      <c r="D6" s="53" t="s">
        <v>19</v>
      </c>
      <c r="E6" s="55"/>
      <c r="F6" s="55">
        <v>1</v>
      </c>
      <c r="G6" s="56"/>
      <c r="H6" s="53" t="s">
        <v>20</v>
      </c>
      <c r="I6" s="57">
        <v>1</v>
      </c>
      <c r="J6" s="36"/>
    </row>
    <row r="7" spans="1:1024" ht="20.05" customHeight="1" thickBot="1" x14ac:dyDescent="0.35">
      <c r="A7" s="58"/>
      <c r="B7" s="59"/>
      <c r="C7" s="59"/>
      <c r="D7" s="59"/>
      <c r="E7" s="60"/>
      <c r="F7" s="60">
        <v>0</v>
      </c>
      <c r="G7" s="61"/>
      <c r="H7" s="62" t="s">
        <v>21</v>
      </c>
      <c r="I7" s="63">
        <v>1</v>
      </c>
      <c r="J7" s="36"/>
    </row>
    <row r="8" spans="1:1024" ht="20.05" customHeight="1" thickBot="1" x14ac:dyDescent="0.35">
      <c r="A8" s="47" t="s">
        <v>22</v>
      </c>
      <c r="B8" s="48" t="s">
        <v>22</v>
      </c>
      <c r="C8" s="48" t="s">
        <v>23</v>
      </c>
      <c r="D8" s="48" t="s">
        <v>22</v>
      </c>
      <c r="E8" s="48" t="s">
        <v>24</v>
      </c>
      <c r="F8" s="49"/>
      <c r="G8" s="64"/>
      <c r="H8" s="49" t="s">
        <v>10</v>
      </c>
      <c r="I8" s="50">
        <v>1</v>
      </c>
      <c r="J8" s="36"/>
    </row>
    <row r="9" spans="1:1024" ht="20.05" customHeight="1" x14ac:dyDescent="0.3">
      <c r="A9" s="52" t="s">
        <v>25</v>
      </c>
      <c r="B9" s="53" t="s">
        <v>25</v>
      </c>
      <c r="C9" s="53" t="s">
        <v>26</v>
      </c>
      <c r="D9" s="53" t="s">
        <v>25</v>
      </c>
      <c r="E9" s="54"/>
      <c r="F9" s="54">
        <v>1</v>
      </c>
      <c r="G9" s="54" t="s">
        <v>27</v>
      </c>
      <c r="H9" s="53" t="s">
        <v>28</v>
      </c>
      <c r="I9" s="57">
        <v>1</v>
      </c>
      <c r="J9" s="36"/>
    </row>
    <row r="10" spans="1:1024" ht="20.05" customHeight="1" x14ac:dyDescent="0.3">
      <c r="A10" s="65"/>
      <c r="B10" s="66"/>
      <c r="C10" s="67"/>
      <c r="D10" s="67"/>
      <c r="E10" s="66"/>
      <c r="F10" s="66">
        <v>2</v>
      </c>
      <c r="G10" s="66" t="s">
        <v>29</v>
      </c>
      <c r="H10" s="68" t="s">
        <v>30</v>
      </c>
      <c r="I10" s="69">
        <v>1</v>
      </c>
      <c r="J10" s="36"/>
    </row>
    <row r="11" spans="1:1024" ht="20.05" customHeight="1" thickBot="1" x14ac:dyDescent="0.35">
      <c r="A11" s="58"/>
      <c r="B11" s="59"/>
      <c r="C11" s="60"/>
      <c r="D11" s="60"/>
      <c r="E11" s="59"/>
      <c r="F11" s="59">
        <v>3</v>
      </c>
      <c r="G11" s="59" t="s">
        <v>31</v>
      </c>
      <c r="H11" s="62" t="s">
        <v>32</v>
      </c>
      <c r="I11" s="63">
        <v>1</v>
      </c>
      <c r="J11" s="36"/>
    </row>
    <row r="12" spans="1:1024" ht="20.05" customHeight="1" x14ac:dyDescent="0.3">
      <c r="A12" s="52" t="s">
        <v>33</v>
      </c>
      <c r="B12" s="53" t="s">
        <v>33</v>
      </c>
      <c r="C12" s="53" t="s">
        <v>34</v>
      </c>
      <c r="D12" s="53" t="s">
        <v>33</v>
      </c>
      <c r="E12" s="54"/>
      <c r="F12" s="55">
        <v>1</v>
      </c>
      <c r="G12" s="53" t="s">
        <v>35</v>
      </c>
      <c r="H12" s="53" t="str">
        <f t="shared" ref="H12:H19" si="0">_xlfn.CONCAT(F12," = ",G12)</f>
        <v>1 = ETH</v>
      </c>
      <c r="I12" s="57">
        <v>1</v>
      </c>
      <c r="J12" s="36"/>
    </row>
    <row r="13" spans="1:1024" ht="20.05" customHeight="1" x14ac:dyDescent="0.3">
      <c r="A13" s="65"/>
      <c r="B13" s="66"/>
      <c r="C13" s="67"/>
      <c r="D13" s="67"/>
      <c r="E13" s="66"/>
      <c r="F13" s="67">
        <v>2</v>
      </c>
      <c r="G13" s="68" t="s">
        <v>36</v>
      </c>
      <c r="H13" s="68" t="str">
        <f t="shared" si="0"/>
        <v>2 = UZH</v>
      </c>
      <c r="I13" s="69">
        <v>1</v>
      </c>
      <c r="J13" s="36"/>
    </row>
    <row r="14" spans="1:1024" ht="20.05" customHeight="1" thickBot="1" x14ac:dyDescent="0.35">
      <c r="A14" s="58"/>
      <c r="B14" s="59"/>
      <c r="C14" s="60"/>
      <c r="D14" s="60"/>
      <c r="E14" s="59"/>
      <c r="F14" s="60">
        <v>3</v>
      </c>
      <c r="G14" s="62" t="s">
        <v>37</v>
      </c>
      <c r="H14" s="62" t="str">
        <f t="shared" si="0"/>
        <v>3 = Other</v>
      </c>
      <c r="I14" s="63">
        <v>1</v>
      </c>
      <c r="J14" s="36"/>
    </row>
    <row r="15" spans="1:1024" ht="20.05" customHeight="1" x14ac:dyDescent="0.3">
      <c r="A15" s="52" t="s">
        <v>38</v>
      </c>
      <c r="B15" s="53" t="s">
        <v>38</v>
      </c>
      <c r="C15" s="53" t="s">
        <v>39</v>
      </c>
      <c r="D15" s="53" t="s">
        <v>39</v>
      </c>
      <c r="E15" s="54"/>
      <c r="F15" s="70">
        <v>1</v>
      </c>
      <c r="G15" s="70" t="s">
        <v>40</v>
      </c>
      <c r="H15" s="53" t="str">
        <f t="shared" si="0"/>
        <v>1 = 2024 or earlier (already graduated)</v>
      </c>
      <c r="I15" s="71">
        <v>1</v>
      </c>
      <c r="J15" s="36"/>
    </row>
    <row r="16" spans="1:1024" ht="20.05" customHeight="1" x14ac:dyDescent="0.3">
      <c r="A16" s="65"/>
      <c r="B16" s="66"/>
      <c r="C16" s="67"/>
      <c r="D16" s="67"/>
      <c r="E16" s="66"/>
      <c r="F16" s="67">
        <v>2</v>
      </c>
      <c r="G16" s="67">
        <v>2025</v>
      </c>
      <c r="H16" s="68" t="str">
        <f t="shared" si="0"/>
        <v>2 = 2025</v>
      </c>
      <c r="I16" s="69">
        <v>1</v>
      </c>
      <c r="J16" s="36"/>
    </row>
    <row r="17" spans="1:10" ht="20.05" customHeight="1" x14ac:dyDescent="0.3">
      <c r="A17" s="65"/>
      <c r="B17" s="66"/>
      <c r="C17" s="67"/>
      <c r="D17" s="67"/>
      <c r="E17" s="66"/>
      <c r="F17" s="67">
        <v>3</v>
      </c>
      <c r="G17" s="67">
        <v>2026</v>
      </c>
      <c r="H17" s="68" t="str">
        <f t="shared" si="0"/>
        <v>3 = 2026</v>
      </c>
      <c r="I17" s="69">
        <v>1</v>
      </c>
      <c r="J17" s="36"/>
    </row>
    <row r="18" spans="1:10" ht="20.05" customHeight="1" x14ac:dyDescent="0.3">
      <c r="A18" s="65"/>
      <c r="B18" s="66"/>
      <c r="C18" s="67"/>
      <c r="D18" s="67"/>
      <c r="E18" s="66"/>
      <c r="F18" s="67">
        <v>4</v>
      </c>
      <c r="G18" s="67">
        <v>2027</v>
      </c>
      <c r="H18" s="68" t="str">
        <f t="shared" si="0"/>
        <v>4 = 2027</v>
      </c>
      <c r="I18" s="69">
        <v>1</v>
      </c>
      <c r="J18" s="36"/>
    </row>
    <row r="19" spans="1:10" s="38" customFormat="1" ht="20.05" customHeight="1" thickBot="1" x14ac:dyDescent="0.35">
      <c r="A19" s="72"/>
      <c r="B19" s="73"/>
      <c r="C19" s="73"/>
      <c r="D19" s="73"/>
      <c r="E19" s="73"/>
      <c r="F19" s="60">
        <v>5</v>
      </c>
      <c r="G19" s="62" t="s">
        <v>41</v>
      </c>
      <c r="H19" s="62" t="str">
        <f t="shared" si="0"/>
        <v>5 = 2028 or after</v>
      </c>
      <c r="I19" s="63">
        <v>1</v>
      </c>
    </row>
    <row r="20" spans="1:10" ht="20.05" customHeight="1" x14ac:dyDescent="0.3">
      <c r="A20" s="52" t="s">
        <v>42</v>
      </c>
      <c r="B20" s="53" t="s">
        <v>42</v>
      </c>
      <c r="C20" s="53" t="s">
        <v>43</v>
      </c>
      <c r="D20" s="53" t="s">
        <v>42</v>
      </c>
      <c r="E20" s="54"/>
      <c r="F20" s="54">
        <v>1</v>
      </c>
      <c r="G20" s="55" t="s">
        <v>44</v>
      </c>
      <c r="H20" s="53" t="s">
        <v>45</v>
      </c>
      <c r="I20" s="57">
        <v>1</v>
      </c>
      <c r="J20" s="36"/>
    </row>
    <row r="21" spans="1:10" ht="20.05" customHeight="1" thickBot="1" x14ac:dyDescent="0.35">
      <c r="A21" s="58"/>
      <c r="B21" s="59"/>
      <c r="C21" s="59"/>
      <c r="D21" s="59"/>
      <c r="E21" s="59"/>
      <c r="F21" s="59">
        <v>0</v>
      </c>
      <c r="G21" s="60" t="s">
        <v>46</v>
      </c>
      <c r="H21" s="62" t="s">
        <v>47</v>
      </c>
      <c r="I21" s="63">
        <v>1</v>
      </c>
      <c r="J21" s="36"/>
    </row>
    <row r="22" spans="1:10" s="38" customFormat="1" ht="20.05" customHeight="1" thickBot="1" x14ac:dyDescent="0.35">
      <c r="A22" s="80" t="s">
        <v>48</v>
      </c>
      <c r="B22" s="64" t="s">
        <v>48</v>
      </c>
      <c r="C22" s="64" t="s">
        <v>49</v>
      </c>
      <c r="D22" s="64"/>
      <c r="E22" s="64" t="s">
        <v>50</v>
      </c>
      <c r="F22" s="64"/>
      <c r="G22" s="64"/>
      <c r="H22" s="64"/>
      <c r="I22" s="81">
        <v>1</v>
      </c>
    </row>
    <row r="23" spans="1:10" ht="20.05" customHeight="1" thickBot="1" x14ac:dyDescent="0.35">
      <c r="A23" s="75" t="s">
        <v>51</v>
      </c>
      <c r="B23" s="62" t="s">
        <v>51</v>
      </c>
      <c r="C23" s="62" t="s">
        <v>52</v>
      </c>
      <c r="D23" s="62" t="s">
        <v>52</v>
      </c>
      <c r="E23" s="62" t="s">
        <v>50</v>
      </c>
      <c r="F23" s="59"/>
      <c r="G23" s="59"/>
      <c r="H23" s="59"/>
      <c r="I23" s="63">
        <v>1</v>
      </c>
      <c r="J23" s="36"/>
    </row>
    <row r="24" spans="1:10" ht="20.05" customHeight="1" x14ac:dyDescent="0.3">
      <c r="A24" s="52" t="s">
        <v>53</v>
      </c>
      <c r="B24" s="53" t="s">
        <v>53</v>
      </c>
      <c r="C24" s="53" t="s">
        <v>54</v>
      </c>
      <c r="D24" s="53" t="s">
        <v>416</v>
      </c>
      <c r="E24" s="54"/>
      <c r="F24" s="55">
        <v>1</v>
      </c>
      <c r="G24" s="53" t="s">
        <v>56</v>
      </c>
      <c r="H24" s="53" t="str">
        <f t="shared" ref="H24:H39" si="1">_xlfn.CONCAT(F24," = ",G24)</f>
        <v>1 = Bachelor's degree</v>
      </c>
      <c r="I24" s="57">
        <v>1</v>
      </c>
      <c r="J24" s="36"/>
    </row>
    <row r="25" spans="1:10" ht="20.05" customHeight="1" x14ac:dyDescent="0.3">
      <c r="A25" s="65"/>
      <c r="B25" s="66"/>
      <c r="C25" s="66"/>
      <c r="D25" s="66"/>
      <c r="E25" s="66"/>
      <c r="F25" s="67">
        <v>2</v>
      </c>
      <c r="G25" s="68" t="s">
        <v>57</v>
      </c>
      <c r="H25" s="68" t="str">
        <f t="shared" si="1"/>
        <v>2 = Master's degree</v>
      </c>
      <c r="I25" s="69">
        <v>1</v>
      </c>
      <c r="J25" s="36"/>
    </row>
    <row r="26" spans="1:10" ht="20.05" customHeight="1" x14ac:dyDescent="0.3">
      <c r="A26" s="65"/>
      <c r="B26" s="66"/>
      <c r="C26" s="66"/>
      <c r="D26" s="66"/>
      <c r="E26" s="66"/>
      <c r="F26" s="67">
        <v>3</v>
      </c>
      <c r="G26" s="68" t="s">
        <v>58</v>
      </c>
      <c r="H26" s="68" t="str">
        <f t="shared" si="1"/>
        <v>3 = PhD</v>
      </c>
      <c r="I26" s="69">
        <v>1</v>
      </c>
      <c r="J26" s="36"/>
    </row>
    <row r="27" spans="1:10" ht="20.05" customHeight="1" thickBot="1" x14ac:dyDescent="0.35">
      <c r="A27" s="58"/>
      <c r="B27" s="59"/>
      <c r="C27" s="59"/>
      <c r="D27" s="59"/>
      <c r="E27" s="59"/>
      <c r="F27" s="60">
        <v>4</v>
      </c>
      <c r="G27" s="62" t="s">
        <v>37</v>
      </c>
      <c r="H27" s="62" t="str">
        <f t="shared" si="1"/>
        <v>4 = Other</v>
      </c>
      <c r="I27" s="63">
        <v>1</v>
      </c>
      <c r="J27" s="36"/>
    </row>
    <row r="28" spans="1:10" ht="20.05" customHeight="1" x14ac:dyDescent="0.3">
      <c r="A28" s="52" t="s">
        <v>55</v>
      </c>
      <c r="B28" s="53" t="s">
        <v>55</v>
      </c>
      <c r="C28" s="53" t="s">
        <v>59</v>
      </c>
      <c r="D28" s="53" t="s">
        <v>55</v>
      </c>
      <c r="E28" s="54"/>
      <c r="F28" s="55">
        <v>1</v>
      </c>
      <c r="G28" s="53" t="s">
        <v>60</v>
      </c>
      <c r="H28" s="53" t="str">
        <f t="shared" si="1"/>
        <v>1 = Architecture and Civil Engineering</v>
      </c>
      <c r="I28" s="57">
        <v>1</v>
      </c>
      <c r="J28" s="36"/>
    </row>
    <row r="29" spans="1:10" ht="20.05" customHeight="1" x14ac:dyDescent="0.3">
      <c r="A29" s="65"/>
      <c r="B29" s="66"/>
      <c r="C29" s="67"/>
      <c r="D29" s="67"/>
      <c r="E29" s="66"/>
      <c r="F29" s="67">
        <v>2</v>
      </c>
      <c r="G29" s="68" t="s">
        <v>61</v>
      </c>
      <c r="H29" s="68" t="str">
        <f t="shared" si="1"/>
        <v>2 = Engineering Sciences</v>
      </c>
      <c r="I29" s="69">
        <v>1</v>
      </c>
      <c r="J29" s="36"/>
    </row>
    <row r="30" spans="1:10" ht="20.05" customHeight="1" x14ac:dyDescent="0.3">
      <c r="A30" s="65"/>
      <c r="B30" s="66"/>
      <c r="C30" s="67"/>
      <c r="D30" s="67"/>
      <c r="E30" s="66"/>
      <c r="F30" s="67">
        <v>3</v>
      </c>
      <c r="G30" s="68" t="s">
        <v>62</v>
      </c>
      <c r="H30" s="68" t="str">
        <f t="shared" si="1"/>
        <v>3 = Natural Sciences and Mathematics</v>
      </c>
      <c r="I30" s="69">
        <v>1</v>
      </c>
      <c r="J30" s="36"/>
    </row>
    <row r="31" spans="1:10" ht="20.05" customHeight="1" x14ac:dyDescent="0.3">
      <c r="A31" s="65"/>
      <c r="B31" s="66"/>
      <c r="C31" s="66"/>
      <c r="D31" s="66"/>
      <c r="E31" s="66"/>
      <c r="F31" s="67">
        <v>4</v>
      </c>
      <c r="G31" s="68" t="s">
        <v>63</v>
      </c>
      <c r="H31" s="68" t="str">
        <f t="shared" si="1"/>
        <v>4 = System-oriented Natural Sciences</v>
      </c>
      <c r="I31" s="69">
        <v>1</v>
      </c>
      <c r="J31" s="36"/>
    </row>
    <row r="32" spans="1:10" ht="20.05" customHeight="1" thickBot="1" x14ac:dyDescent="0.35">
      <c r="A32" s="58"/>
      <c r="B32" s="59"/>
      <c r="C32" s="60"/>
      <c r="D32" s="60"/>
      <c r="E32" s="59"/>
      <c r="F32" s="60">
        <v>5</v>
      </c>
      <c r="G32" s="62" t="s">
        <v>64</v>
      </c>
      <c r="H32" s="62" t="str">
        <f t="shared" si="1"/>
        <v>5 = Management and Social Sciences</v>
      </c>
      <c r="I32" s="63">
        <v>1</v>
      </c>
      <c r="J32" s="36"/>
    </row>
    <row r="33" spans="1:10" ht="20.05" customHeight="1" x14ac:dyDescent="0.3">
      <c r="A33" s="52" t="s">
        <v>65</v>
      </c>
      <c r="B33" s="53" t="s">
        <v>65</v>
      </c>
      <c r="C33" s="53" t="s">
        <v>59</v>
      </c>
      <c r="D33" s="53" t="s">
        <v>65</v>
      </c>
      <c r="E33" s="54"/>
      <c r="F33" s="55">
        <v>1</v>
      </c>
      <c r="G33" s="53" t="s">
        <v>66</v>
      </c>
      <c r="H33" s="53" t="str">
        <f t="shared" si="1"/>
        <v>1 = Faculty of Theology</v>
      </c>
      <c r="I33" s="57">
        <v>1</v>
      </c>
      <c r="J33" s="36"/>
    </row>
    <row r="34" spans="1:10" ht="20.05" customHeight="1" x14ac:dyDescent="0.3">
      <c r="A34" s="65"/>
      <c r="B34" s="66"/>
      <c r="C34" s="67"/>
      <c r="D34" s="67"/>
      <c r="E34" s="66"/>
      <c r="F34" s="67">
        <v>2</v>
      </c>
      <c r="G34" s="68" t="s">
        <v>67</v>
      </c>
      <c r="H34" s="68" t="str">
        <f t="shared" si="1"/>
        <v>2 = Faculty of Law</v>
      </c>
      <c r="I34" s="69">
        <v>1</v>
      </c>
      <c r="J34" s="36"/>
    </row>
    <row r="35" spans="1:10" ht="20.05" customHeight="1" x14ac:dyDescent="0.3">
      <c r="A35" s="65"/>
      <c r="B35" s="66"/>
      <c r="C35" s="67"/>
      <c r="D35" s="67"/>
      <c r="E35" s="66"/>
      <c r="F35" s="67">
        <v>3</v>
      </c>
      <c r="G35" s="68" t="s">
        <v>68</v>
      </c>
      <c r="H35" s="68" t="str">
        <f t="shared" si="1"/>
        <v>3 = Faculty of Business, Economics, and Informatics</v>
      </c>
      <c r="I35" s="69">
        <v>1</v>
      </c>
      <c r="J35" s="36"/>
    </row>
    <row r="36" spans="1:10" ht="20.05" customHeight="1" x14ac:dyDescent="0.3">
      <c r="A36" s="65"/>
      <c r="B36" s="66"/>
      <c r="C36" s="66"/>
      <c r="D36" s="66"/>
      <c r="E36" s="66"/>
      <c r="F36" s="67">
        <v>4</v>
      </c>
      <c r="G36" s="68" t="s">
        <v>69</v>
      </c>
      <c r="H36" s="68" t="str">
        <f t="shared" si="1"/>
        <v>4 = Faculty of Medicine</v>
      </c>
      <c r="I36" s="69">
        <v>1</v>
      </c>
      <c r="J36" s="36"/>
    </row>
    <row r="37" spans="1:10" ht="20.05" customHeight="1" x14ac:dyDescent="0.3">
      <c r="A37" s="65"/>
      <c r="B37" s="66"/>
      <c r="C37" s="67"/>
      <c r="D37" s="67"/>
      <c r="E37" s="66"/>
      <c r="F37" s="67">
        <v>5</v>
      </c>
      <c r="G37" s="68" t="s">
        <v>70</v>
      </c>
      <c r="H37" s="68" t="str">
        <f t="shared" si="1"/>
        <v>5 = Vetsuisse Faculty</v>
      </c>
      <c r="I37" s="69">
        <v>1</v>
      </c>
      <c r="J37" s="36"/>
    </row>
    <row r="38" spans="1:10" ht="20.05" customHeight="1" x14ac:dyDescent="0.3">
      <c r="A38" s="65"/>
      <c r="B38" s="66"/>
      <c r="C38" s="66"/>
      <c r="D38" s="66"/>
      <c r="E38" s="66"/>
      <c r="F38" s="67">
        <v>6</v>
      </c>
      <c r="G38" s="68" t="s">
        <v>71</v>
      </c>
      <c r="H38" s="68" t="str">
        <f t="shared" si="1"/>
        <v>6 = Faculty of Arts and Social Sciences</v>
      </c>
      <c r="I38" s="69">
        <v>1</v>
      </c>
      <c r="J38" s="36"/>
    </row>
    <row r="39" spans="1:10" ht="20.05" customHeight="1" thickBot="1" x14ac:dyDescent="0.35">
      <c r="A39" s="58"/>
      <c r="B39" s="59"/>
      <c r="C39" s="60"/>
      <c r="D39" s="60"/>
      <c r="E39" s="59"/>
      <c r="F39" s="60">
        <v>7</v>
      </c>
      <c r="G39" s="62" t="s">
        <v>72</v>
      </c>
      <c r="H39" s="62" t="str">
        <f t="shared" si="1"/>
        <v>7 = Faculty of Science</v>
      </c>
      <c r="I39" s="63">
        <v>1</v>
      </c>
      <c r="J39" s="36"/>
    </row>
    <row r="40" spans="1:10" s="38" customFormat="1" ht="20.05" customHeight="1" thickBot="1" x14ac:dyDescent="0.35">
      <c r="A40" s="80" t="s">
        <v>73</v>
      </c>
      <c r="B40" s="64" t="s">
        <v>73</v>
      </c>
      <c r="C40" s="64"/>
      <c r="D40" s="64"/>
      <c r="E40" s="64" t="s">
        <v>50</v>
      </c>
      <c r="F40" s="64"/>
      <c r="G40" s="64"/>
      <c r="H40" s="48"/>
      <c r="I40" s="81">
        <v>1</v>
      </c>
    </row>
    <row r="41" spans="1:10" s="38" customFormat="1" ht="20.05" customHeight="1" x14ac:dyDescent="0.3">
      <c r="A41" s="77" t="s">
        <v>74</v>
      </c>
      <c r="B41" s="76" t="s">
        <v>74</v>
      </c>
      <c r="C41" s="76" t="s">
        <v>75</v>
      </c>
      <c r="D41" s="76" t="s">
        <v>75</v>
      </c>
      <c r="E41" s="76"/>
      <c r="F41" s="76">
        <v>1</v>
      </c>
      <c r="G41" s="76" t="s">
        <v>76</v>
      </c>
      <c r="H41" s="68" t="str">
        <f t="shared" ref="H41:H50" si="2">_xlfn.CONCAT(F41," = ",G41)</f>
        <v>1 = Not at all worried</v>
      </c>
      <c r="I41" s="78">
        <v>1</v>
      </c>
    </row>
    <row r="42" spans="1:10" s="38" customFormat="1" ht="20.05" customHeight="1" x14ac:dyDescent="0.3">
      <c r="A42" s="77"/>
      <c r="B42" s="76"/>
      <c r="C42" s="76"/>
      <c r="D42" s="76"/>
      <c r="E42" s="76"/>
      <c r="F42" s="76">
        <v>2</v>
      </c>
      <c r="G42" s="76" t="s">
        <v>77</v>
      </c>
      <c r="H42" s="68" t="str">
        <f t="shared" si="2"/>
        <v>2 = Not very worried</v>
      </c>
      <c r="I42" s="78">
        <v>1</v>
      </c>
    </row>
    <row r="43" spans="1:10" s="38" customFormat="1" ht="20.05" customHeight="1" x14ac:dyDescent="0.3">
      <c r="A43" s="77"/>
      <c r="B43" s="76"/>
      <c r="C43" s="76"/>
      <c r="D43" s="76"/>
      <c r="E43" s="76"/>
      <c r="F43" s="76">
        <v>3</v>
      </c>
      <c r="G43" s="76" t="s">
        <v>78</v>
      </c>
      <c r="H43" s="68" t="str">
        <f t="shared" si="2"/>
        <v>3 = Moderately worried</v>
      </c>
      <c r="I43" s="78">
        <v>1</v>
      </c>
    </row>
    <row r="44" spans="1:10" s="38" customFormat="1" ht="20.05" customHeight="1" x14ac:dyDescent="0.3">
      <c r="A44" s="77"/>
      <c r="B44" s="76"/>
      <c r="C44" s="76"/>
      <c r="D44" s="76"/>
      <c r="E44" s="76"/>
      <c r="F44" s="76">
        <v>4</v>
      </c>
      <c r="G44" s="76" t="s">
        <v>79</v>
      </c>
      <c r="H44" s="68" t="str">
        <f t="shared" si="2"/>
        <v>4 = Very worried</v>
      </c>
      <c r="I44" s="78">
        <v>1</v>
      </c>
    </row>
    <row r="45" spans="1:10" s="38" customFormat="1" ht="20.05" customHeight="1" thickBot="1" x14ac:dyDescent="0.35">
      <c r="A45" s="72"/>
      <c r="B45" s="73"/>
      <c r="C45" s="73"/>
      <c r="D45" s="73"/>
      <c r="E45" s="73"/>
      <c r="F45" s="73">
        <v>5</v>
      </c>
      <c r="G45" s="73" t="s">
        <v>80</v>
      </c>
      <c r="H45" s="62" t="str">
        <f t="shared" si="2"/>
        <v>5 = Extremely worried</v>
      </c>
      <c r="I45" s="79">
        <v>1</v>
      </c>
    </row>
    <row r="46" spans="1:10" s="38" customFormat="1" ht="20.05" customHeight="1" x14ac:dyDescent="0.3">
      <c r="A46" s="74" t="s">
        <v>81</v>
      </c>
      <c r="B46" s="70" t="s">
        <v>81</v>
      </c>
      <c r="C46" s="70" t="s">
        <v>82</v>
      </c>
      <c r="D46" s="70" t="s">
        <v>82</v>
      </c>
      <c r="E46" s="70"/>
      <c r="F46" s="70">
        <v>1</v>
      </c>
      <c r="G46" s="70" t="s">
        <v>83</v>
      </c>
      <c r="H46" s="53" t="str">
        <f t="shared" si="2"/>
        <v>1 = Not at all responsible</v>
      </c>
      <c r="I46" s="71">
        <v>1</v>
      </c>
    </row>
    <row r="47" spans="1:10" s="38" customFormat="1" ht="20.05" customHeight="1" x14ac:dyDescent="0.3">
      <c r="A47" s="77"/>
      <c r="B47" s="76"/>
      <c r="C47" s="76"/>
      <c r="D47" s="76"/>
      <c r="E47" s="76"/>
      <c r="F47" s="76">
        <v>2</v>
      </c>
      <c r="G47" s="76" t="s">
        <v>84</v>
      </c>
      <c r="H47" s="68" t="str">
        <f t="shared" si="2"/>
        <v>2 = Slightly responsible</v>
      </c>
      <c r="I47" s="78">
        <v>1</v>
      </c>
    </row>
    <row r="48" spans="1:10" s="38" customFormat="1" ht="20.05" customHeight="1" x14ac:dyDescent="0.3">
      <c r="A48" s="77"/>
      <c r="B48" s="76"/>
      <c r="C48" s="76"/>
      <c r="D48" s="76"/>
      <c r="E48" s="76"/>
      <c r="F48" s="76">
        <v>3</v>
      </c>
      <c r="G48" s="76" t="s">
        <v>85</v>
      </c>
      <c r="H48" s="68" t="str">
        <f t="shared" si="2"/>
        <v>3 = Moderately responsible</v>
      </c>
      <c r="I48" s="78">
        <v>1</v>
      </c>
    </row>
    <row r="49" spans="1:10" s="38" customFormat="1" ht="20.05" customHeight="1" x14ac:dyDescent="0.3">
      <c r="A49" s="77"/>
      <c r="B49" s="76"/>
      <c r="C49" s="76"/>
      <c r="D49" s="76"/>
      <c r="E49" s="76"/>
      <c r="F49" s="76">
        <v>4</v>
      </c>
      <c r="G49" s="76" t="s">
        <v>86</v>
      </c>
      <c r="H49" s="68" t="str">
        <f t="shared" si="2"/>
        <v>4 = Very responsible</v>
      </c>
      <c r="I49" s="78">
        <v>1</v>
      </c>
    </row>
    <row r="50" spans="1:10" s="38" customFormat="1" ht="20.05" customHeight="1" thickBot="1" x14ac:dyDescent="0.35">
      <c r="A50" s="72"/>
      <c r="B50" s="73"/>
      <c r="C50" s="73"/>
      <c r="D50" s="73"/>
      <c r="E50" s="73"/>
      <c r="F50" s="73">
        <v>5</v>
      </c>
      <c r="G50" s="73" t="s">
        <v>87</v>
      </c>
      <c r="H50" s="62" t="str">
        <f t="shared" si="2"/>
        <v>5 = Extremely responsible</v>
      </c>
      <c r="I50" s="79">
        <v>1</v>
      </c>
    </row>
    <row r="51" spans="1:10" s="38" customFormat="1" ht="20.05" customHeight="1" thickBot="1" x14ac:dyDescent="0.35">
      <c r="A51" s="80" t="s">
        <v>431</v>
      </c>
      <c r="B51" s="64" t="s">
        <v>88</v>
      </c>
      <c r="C51" s="64" t="s">
        <v>89</v>
      </c>
      <c r="D51" s="64" t="s">
        <v>89</v>
      </c>
      <c r="E51" s="64" t="s">
        <v>417</v>
      </c>
      <c r="F51" s="64"/>
      <c r="G51" s="64"/>
      <c r="H51" s="48"/>
      <c r="I51" s="81">
        <v>1</v>
      </c>
    </row>
    <row r="52" spans="1:10" s="38" customFormat="1" ht="20.05" customHeight="1" thickBot="1" x14ac:dyDescent="0.35">
      <c r="A52" s="80" t="s">
        <v>90</v>
      </c>
      <c r="B52" s="64" t="s">
        <v>90</v>
      </c>
      <c r="C52" s="64"/>
      <c r="D52" s="64"/>
      <c r="E52" s="64" t="s">
        <v>418</v>
      </c>
      <c r="F52" s="64"/>
      <c r="G52" s="64"/>
      <c r="H52" s="64" t="s">
        <v>10</v>
      </c>
      <c r="I52" s="81">
        <v>1</v>
      </c>
    </row>
    <row r="53" spans="1:10" s="38" customFormat="1" ht="20.05" customHeight="1" thickBot="1" x14ac:dyDescent="0.35">
      <c r="A53" s="80" t="s">
        <v>91</v>
      </c>
      <c r="B53" s="64" t="s">
        <v>91</v>
      </c>
      <c r="C53" s="64"/>
      <c r="D53" s="64"/>
      <c r="E53" s="64" t="s">
        <v>418</v>
      </c>
      <c r="F53" s="64"/>
      <c r="G53" s="64"/>
      <c r="H53" s="64" t="s">
        <v>10</v>
      </c>
      <c r="I53" s="81">
        <v>1</v>
      </c>
    </row>
    <row r="54" spans="1:10" s="38" customFormat="1" ht="20.05" customHeight="1" thickBot="1" x14ac:dyDescent="0.35">
      <c r="A54" s="80" t="s">
        <v>92</v>
      </c>
      <c r="B54" s="64" t="s">
        <v>92</v>
      </c>
      <c r="C54" s="64" t="s">
        <v>93</v>
      </c>
      <c r="D54" s="64"/>
      <c r="E54" s="64" t="s">
        <v>50</v>
      </c>
      <c r="F54" s="64"/>
      <c r="G54" s="64"/>
      <c r="H54" s="48"/>
      <c r="I54" s="81">
        <v>1</v>
      </c>
    </row>
    <row r="55" spans="1:10" ht="20.05" customHeight="1" x14ac:dyDescent="0.3">
      <c r="A55" s="52" t="s">
        <v>94</v>
      </c>
      <c r="B55" s="53" t="s">
        <v>95</v>
      </c>
      <c r="C55" s="53" t="s">
        <v>96</v>
      </c>
      <c r="D55" s="53" t="s">
        <v>96</v>
      </c>
      <c r="E55" s="54"/>
      <c r="F55" s="55">
        <v>1</v>
      </c>
      <c r="G55" s="53" t="s">
        <v>97</v>
      </c>
      <c r="H55" s="53" t="str">
        <f>_xlfn.CONCAT(F55," = ",G55)</f>
        <v>1 = Not important at all</v>
      </c>
      <c r="I55" s="57">
        <v>1</v>
      </c>
      <c r="J55" s="36"/>
    </row>
    <row r="56" spans="1:10" ht="20.05" customHeight="1" x14ac:dyDescent="0.3">
      <c r="A56" s="65"/>
      <c r="B56" s="66"/>
      <c r="C56" s="67"/>
      <c r="D56" s="66"/>
      <c r="E56" s="66"/>
      <c r="F56" s="67">
        <v>2</v>
      </c>
      <c r="G56" s="68" t="s">
        <v>98</v>
      </c>
      <c r="H56" s="68" t="str">
        <f>_xlfn.CONCAT(F56," = ",G56)</f>
        <v>2 = Slightly important</v>
      </c>
      <c r="I56" s="69">
        <v>1</v>
      </c>
      <c r="J56" s="36"/>
    </row>
    <row r="57" spans="1:10" ht="20.05" customHeight="1" x14ac:dyDescent="0.3">
      <c r="A57" s="65"/>
      <c r="B57" s="66"/>
      <c r="C57" s="67"/>
      <c r="D57" s="66"/>
      <c r="E57" s="66"/>
      <c r="F57" s="67">
        <v>3</v>
      </c>
      <c r="G57" s="68" t="s">
        <v>99</v>
      </c>
      <c r="H57" s="68" t="str">
        <f>_xlfn.CONCAT(F57," = ",G57)</f>
        <v>3 = Moderately important</v>
      </c>
      <c r="I57" s="69">
        <v>1</v>
      </c>
      <c r="J57" s="36"/>
    </row>
    <row r="58" spans="1:10" ht="20.05" customHeight="1" x14ac:dyDescent="0.3">
      <c r="A58" s="65"/>
      <c r="B58" s="66"/>
      <c r="C58" s="67"/>
      <c r="D58" s="66"/>
      <c r="E58" s="66"/>
      <c r="F58" s="67">
        <v>4</v>
      </c>
      <c r="G58" s="68" t="s">
        <v>100</v>
      </c>
      <c r="H58" s="68" t="str">
        <f>_xlfn.CONCAT(F58," = ",G58)</f>
        <v>4 = Very important</v>
      </c>
      <c r="I58" s="69">
        <v>1</v>
      </c>
      <c r="J58" s="36"/>
    </row>
    <row r="59" spans="1:10" ht="20.05" customHeight="1" thickBot="1" x14ac:dyDescent="0.35">
      <c r="A59" s="58"/>
      <c r="B59" s="59"/>
      <c r="C59" s="60"/>
      <c r="D59" s="59"/>
      <c r="E59" s="59"/>
      <c r="F59" s="60">
        <v>5</v>
      </c>
      <c r="G59" s="62" t="s">
        <v>101</v>
      </c>
      <c r="H59" s="62" t="str">
        <f>_xlfn.CONCAT(F59," = ",G59)</f>
        <v>5 = Extremely important</v>
      </c>
      <c r="I59" s="63">
        <v>1</v>
      </c>
      <c r="J59" s="36"/>
    </row>
    <row r="60" spans="1:10" ht="20.05" customHeight="1" thickBot="1" x14ac:dyDescent="0.35">
      <c r="A60" s="47" t="s">
        <v>102</v>
      </c>
      <c r="B60" s="48" t="s">
        <v>102</v>
      </c>
      <c r="C60" s="48" t="s">
        <v>103</v>
      </c>
      <c r="D60" s="48" t="s">
        <v>103</v>
      </c>
      <c r="E60" s="51"/>
      <c r="F60" s="51"/>
      <c r="G60" s="51"/>
      <c r="H60" s="48" t="s">
        <v>10</v>
      </c>
      <c r="I60" s="50">
        <v>1</v>
      </c>
      <c r="J60" s="36"/>
    </row>
    <row r="61" spans="1:10" ht="20.05" customHeight="1" thickBot="1" x14ac:dyDescent="0.35">
      <c r="A61" s="80" t="s">
        <v>104</v>
      </c>
      <c r="B61" s="64" t="s">
        <v>104</v>
      </c>
      <c r="C61" s="64" t="s">
        <v>105</v>
      </c>
      <c r="D61" s="64"/>
      <c r="E61" s="64" t="s">
        <v>50</v>
      </c>
      <c r="F61" s="64"/>
      <c r="G61" s="64"/>
      <c r="H61" s="48"/>
      <c r="I61" s="81">
        <v>1</v>
      </c>
    </row>
    <row r="62" spans="1:10" ht="20.05" customHeight="1" x14ac:dyDescent="0.3">
      <c r="A62" s="52" t="s">
        <v>106</v>
      </c>
      <c r="B62" s="53" t="s">
        <v>106</v>
      </c>
      <c r="C62" s="53" t="s">
        <v>107</v>
      </c>
      <c r="D62" s="53" t="s">
        <v>107</v>
      </c>
      <c r="E62" s="55"/>
      <c r="F62" s="55">
        <v>5</v>
      </c>
      <c r="G62" s="53" t="s">
        <v>108</v>
      </c>
      <c r="H62" s="53" t="str">
        <f t="shared" ref="H62:H109" si="3">_xlfn.CONCAT(F62," = ",G62)</f>
        <v>5 = I am very familiar and use them frequently</v>
      </c>
      <c r="I62" s="57">
        <v>1</v>
      </c>
      <c r="J62" s="36"/>
    </row>
    <row r="63" spans="1:10" ht="20.05" customHeight="1" x14ac:dyDescent="0.3">
      <c r="A63" s="82"/>
      <c r="B63" s="67"/>
      <c r="C63" s="67"/>
      <c r="D63" s="67"/>
      <c r="E63" s="67"/>
      <c r="F63" s="67">
        <v>4</v>
      </c>
      <c r="G63" s="68" t="s">
        <v>109</v>
      </c>
      <c r="H63" s="68" t="str">
        <f t="shared" si="3"/>
        <v>4 = I am somewhat familiar and use them occasionally</v>
      </c>
      <c r="I63" s="69">
        <v>1</v>
      </c>
      <c r="J63" s="36"/>
    </row>
    <row r="64" spans="1:10" ht="20.05" customHeight="1" x14ac:dyDescent="0.3">
      <c r="A64" s="82"/>
      <c r="B64" s="67"/>
      <c r="C64" s="67"/>
      <c r="D64" s="67"/>
      <c r="E64" s="67"/>
      <c r="F64" s="67">
        <v>3</v>
      </c>
      <c r="G64" s="68" t="s">
        <v>110</v>
      </c>
      <c r="H64" s="68" t="str">
        <f t="shared" si="3"/>
        <v>3 = I am somewhat familiar but rarely use them</v>
      </c>
      <c r="I64" s="69">
        <v>1</v>
      </c>
      <c r="J64" s="36"/>
    </row>
    <row r="65" spans="1:10" ht="20.05" customHeight="1" x14ac:dyDescent="0.3">
      <c r="A65" s="82"/>
      <c r="B65" s="67"/>
      <c r="C65" s="67"/>
      <c r="D65" s="67"/>
      <c r="E65" s="67"/>
      <c r="F65" s="67">
        <v>2</v>
      </c>
      <c r="G65" s="68" t="s">
        <v>111</v>
      </c>
      <c r="H65" s="68" t="str">
        <f t="shared" si="3"/>
        <v>2 = I am aware of them but do not use them</v>
      </c>
      <c r="I65" s="69">
        <v>1</v>
      </c>
      <c r="J65" s="36"/>
    </row>
    <row r="66" spans="1:10" ht="20.05" customHeight="1" thickBot="1" x14ac:dyDescent="0.35">
      <c r="A66" s="83"/>
      <c r="B66" s="60"/>
      <c r="C66" s="60"/>
      <c r="D66" s="60"/>
      <c r="E66" s="60"/>
      <c r="F66" s="60">
        <v>1</v>
      </c>
      <c r="G66" s="62" t="s">
        <v>112</v>
      </c>
      <c r="H66" s="62" t="str">
        <f t="shared" si="3"/>
        <v>1 = I am not familiar with them at all</v>
      </c>
      <c r="I66" s="63">
        <v>1</v>
      </c>
      <c r="J66" s="36"/>
    </row>
    <row r="67" spans="1:10" ht="20.05" customHeight="1" x14ac:dyDescent="0.3">
      <c r="A67" s="52" t="s">
        <v>113</v>
      </c>
      <c r="B67" s="53" t="s">
        <v>113</v>
      </c>
      <c r="C67" s="53" t="s">
        <v>114</v>
      </c>
      <c r="D67" s="53" t="s">
        <v>114</v>
      </c>
      <c r="E67" s="55"/>
      <c r="F67" s="55">
        <v>1</v>
      </c>
      <c r="G67" s="53" t="s">
        <v>115</v>
      </c>
      <c r="H67" s="53" t="str">
        <f t="shared" si="3"/>
        <v>1 = Strongly prefer not</v>
      </c>
      <c r="I67" s="57">
        <v>1</v>
      </c>
      <c r="J67" s="36"/>
    </row>
    <row r="68" spans="1:10" ht="20.05" customHeight="1" x14ac:dyDescent="0.3">
      <c r="A68" s="82"/>
      <c r="B68" s="67"/>
      <c r="C68" s="67"/>
      <c r="D68" s="67"/>
      <c r="E68" s="67"/>
      <c r="F68" s="67">
        <v>2</v>
      </c>
      <c r="G68" s="68" t="s">
        <v>116</v>
      </c>
      <c r="H68" s="68" t="str">
        <f t="shared" si="3"/>
        <v xml:space="preserve">2 = Prefer not </v>
      </c>
      <c r="I68" s="69">
        <v>1</v>
      </c>
      <c r="J68" s="36"/>
    </row>
    <row r="69" spans="1:10" ht="20.05" customHeight="1" x14ac:dyDescent="0.3">
      <c r="A69" s="82"/>
      <c r="B69" s="67"/>
      <c r="C69" s="67"/>
      <c r="D69" s="67"/>
      <c r="E69" s="67"/>
      <c r="F69" s="67">
        <v>3</v>
      </c>
      <c r="G69" s="68" t="s">
        <v>117</v>
      </c>
      <c r="H69" s="68" t="str">
        <f t="shared" si="3"/>
        <v>3 = Indifferent</v>
      </c>
      <c r="I69" s="69">
        <v>1</v>
      </c>
      <c r="J69" s="36"/>
    </row>
    <row r="70" spans="1:10" ht="20.05" customHeight="1" x14ac:dyDescent="0.3">
      <c r="A70" s="82"/>
      <c r="B70" s="67"/>
      <c r="C70" s="67"/>
      <c r="D70" s="67"/>
      <c r="E70" s="67"/>
      <c r="F70" s="67">
        <v>4</v>
      </c>
      <c r="G70" s="68" t="s">
        <v>118</v>
      </c>
      <c r="H70" s="68" t="str">
        <f t="shared" si="3"/>
        <v>4 = Prefer</v>
      </c>
      <c r="I70" s="69">
        <v>1</v>
      </c>
      <c r="J70" s="36"/>
    </row>
    <row r="71" spans="1:10" ht="20.05" customHeight="1" thickBot="1" x14ac:dyDescent="0.35">
      <c r="A71" s="83"/>
      <c r="B71" s="60"/>
      <c r="C71" s="60"/>
      <c r="D71" s="60"/>
      <c r="E71" s="60"/>
      <c r="F71" s="60">
        <v>5</v>
      </c>
      <c r="G71" s="62" t="s">
        <v>119</v>
      </c>
      <c r="H71" s="62" t="str">
        <f t="shared" si="3"/>
        <v>5 = Strongly prefer</v>
      </c>
      <c r="I71" s="63">
        <v>1</v>
      </c>
      <c r="J71" s="36"/>
    </row>
    <row r="72" spans="1:10" ht="20.05" customHeight="1" x14ac:dyDescent="0.3">
      <c r="A72" s="52" t="s">
        <v>120</v>
      </c>
      <c r="B72" s="53" t="s">
        <v>120</v>
      </c>
      <c r="C72" s="53" t="s">
        <v>121</v>
      </c>
      <c r="D72" s="53" t="s">
        <v>121</v>
      </c>
      <c r="E72" s="55"/>
      <c r="F72" s="55">
        <v>1</v>
      </c>
      <c r="G72" s="53" t="s">
        <v>115</v>
      </c>
      <c r="H72" s="53" t="str">
        <f t="shared" si="3"/>
        <v>1 = Strongly prefer not</v>
      </c>
      <c r="I72" s="57">
        <v>1</v>
      </c>
      <c r="J72" s="36"/>
    </row>
    <row r="73" spans="1:10" ht="20.05" customHeight="1" x14ac:dyDescent="0.3">
      <c r="A73" s="82"/>
      <c r="B73" s="67"/>
      <c r="C73" s="67"/>
      <c r="D73" s="67"/>
      <c r="E73" s="67"/>
      <c r="F73" s="67">
        <v>2</v>
      </c>
      <c r="G73" s="68" t="s">
        <v>116</v>
      </c>
      <c r="H73" s="68" t="str">
        <f t="shared" si="3"/>
        <v xml:space="preserve">2 = Prefer not </v>
      </c>
      <c r="I73" s="69">
        <v>1</v>
      </c>
      <c r="J73" s="36"/>
    </row>
    <row r="74" spans="1:10" ht="20.05" customHeight="1" x14ac:dyDescent="0.3">
      <c r="A74" s="82"/>
      <c r="B74" s="67"/>
      <c r="C74" s="67"/>
      <c r="D74" s="67"/>
      <c r="E74" s="67"/>
      <c r="F74" s="67">
        <v>3</v>
      </c>
      <c r="G74" s="68" t="s">
        <v>117</v>
      </c>
      <c r="H74" s="68" t="str">
        <f t="shared" si="3"/>
        <v>3 = Indifferent</v>
      </c>
      <c r="I74" s="69">
        <v>1</v>
      </c>
      <c r="J74" s="36"/>
    </row>
    <row r="75" spans="1:10" ht="20.05" customHeight="1" x14ac:dyDescent="0.3">
      <c r="A75" s="82"/>
      <c r="B75" s="67"/>
      <c r="C75" s="67"/>
      <c r="D75" s="67"/>
      <c r="E75" s="67"/>
      <c r="F75" s="67">
        <v>4</v>
      </c>
      <c r="G75" s="68" t="s">
        <v>118</v>
      </c>
      <c r="H75" s="68" t="str">
        <f t="shared" si="3"/>
        <v>4 = Prefer</v>
      </c>
      <c r="I75" s="69">
        <v>1</v>
      </c>
      <c r="J75" s="36"/>
    </row>
    <row r="76" spans="1:10" ht="20.05" customHeight="1" thickBot="1" x14ac:dyDescent="0.35">
      <c r="A76" s="83"/>
      <c r="B76" s="60"/>
      <c r="C76" s="60"/>
      <c r="D76" s="60"/>
      <c r="E76" s="60"/>
      <c r="F76" s="60">
        <v>5</v>
      </c>
      <c r="G76" s="62" t="s">
        <v>119</v>
      </c>
      <c r="H76" s="62" t="str">
        <f t="shared" si="3"/>
        <v>5 = Strongly prefer</v>
      </c>
      <c r="I76" s="63">
        <v>1</v>
      </c>
      <c r="J76" s="36"/>
    </row>
    <row r="77" spans="1:10" ht="20.05" customHeight="1" x14ac:dyDescent="0.3">
      <c r="A77" s="52" t="s">
        <v>296</v>
      </c>
      <c r="B77" s="53" t="s">
        <v>122</v>
      </c>
      <c r="C77" s="53" t="s">
        <v>123</v>
      </c>
      <c r="D77" s="53" t="s">
        <v>123</v>
      </c>
      <c r="E77" s="55"/>
      <c r="F77" s="55">
        <v>1</v>
      </c>
      <c r="G77" s="53" t="s">
        <v>115</v>
      </c>
      <c r="H77" s="53" t="str">
        <f t="shared" si="3"/>
        <v>1 = Strongly prefer not</v>
      </c>
      <c r="I77" s="57">
        <v>1</v>
      </c>
      <c r="J77" s="36"/>
    </row>
    <row r="78" spans="1:10" ht="20.05" customHeight="1" x14ac:dyDescent="0.3">
      <c r="A78" s="82"/>
      <c r="B78" s="67"/>
      <c r="C78" s="67"/>
      <c r="D78" s="67"/>
      <c r="E78" s="67"/>
      <c r="F78" s="67">
        <v>2</v>
      </c>
      <c r="G78" s="68" t="s">
        <v>116</v>
      </c>
      <c r="H78" s="68" t="str">
        <f t="shared" si="3"/>
        <v xml:space="preserve">2 = Prefer not </v>
      </c>
      <c r="I78" s="69">
        <v>1</v>
      </c>
      <c r="J78" s="36"/>
    </row>
    <row r="79" spans="1:10" ht="20.05" customHeight="1" x14ac:dyDescent="0.3">
      <c r="A79" s="82"/>
      <c r="B79" s="67"/>
      <c r="C79" s="67"/>
      <c r="D79" s="67"/>
      <c r="E79" s="67"/>
      <c r="F79" s="67">
        <v>3</v>
      </c>
      <c r="G79" s="68" t="s">
        <v>117</v>
      </c>
      <c r="H79" s="68" t="str">
        <f t="shared" si="3"/>
        <v>3 = Indifferent</v>
      </c>
      <c r="I79" s="69">
        <v>1</v>
      </c>
      <c r="J79" s="36"/>
    </row>
    <row r="80" spans="1:10" ht="20.05" customHeight="1" x14ac:dyDescent="0.3">
      <c r="A80" s="82"/>
      <c r="B80" s="67"/>
      <c r="C80" s="67"/>
      <c r="D80" s="67"/>
      <c r="E80" s="67"/>
      <c r="F80" s="67">
        <v>4</v>
      </c>
      <c r="G80" s="68" t="s">
        <v>118</v>
      </c>
      <c r="H80" s="68" t="str">
        <f t="shared" si="3"/>
        <v>4 = Prefer</v>
      </c>
      <c r="I80" s="69">
        <v>1</v>
      </c>
      <c r="J80" s="36"/>
    </row>
    <row r="81" spans="1:10" ht="20.05" customHeight="1" thickBot="1" x14ac:dyDescent="0.35">
      <c r="A81" s="83"/>
      <c r="B81" s="60"/>
      <c r="C81" s="60"/>
      <c r="D81" s="60"/>
      <c r="E81" s="60"/>
      <c r="F81" s="60">
        <v>5</v>
      </c>
      <c r="G81" s="62" t="s">
        <v>119</v>
      </c>
      <c r="H81" s="62" t="str">
        <f t="shared" si="3"/>
        <v>5 = Strongly prefer</v>
      </c>
      <c r="I81" s="63">
        <v>1</v>
      </c>
      <c r="J81" s="36"/>
    </row>
    <row r="82" spans="1:10" ht="20.05" customHeight="1" x14ac:dyDescent="0.3">
      <c r="A82" s="52" t="s">
        <v>124</v>
      </c>
      <c r="B82" s="53" t="s">
        <v>124</v>
      </c>
      <c r="C82" s="53" t="s">
        <v>125</v>
      </c>
      <c r="D82" s="53" t="s">
        <v>125</v>
      </c>
      <c r="E82" s="55"/>
      <c r="F82" s="55">
        <v>1</v>
      </c>
      <c r="G82" s="53" t="s">
        <v>115</v>
      </c>
      <c r="H82" s="53" t="str">
        <f t="shared" si="3"/>
        <v>1 = Strongly prefer not</v>
      </c>
      <c r="I82" s="57">
        <v>1</v>
      </c>
      <c r="J82" s="36"/>
    </row>
    <row r="83" spans="1:10" ht="20.05" customHeight="1" x14ac:dyDescent="0.3">
      <c r="A83" s="82"/>
      <c r="B83" s="67"/>
      <c r="C83" s="67"/>
      <c r="D83" s="67"/>
      <c r="E83" s="67"/>
      <c r="F83" s="67">
        <v>2</v>
      </c>
      <c r="G83" s="68" t="s">
        <v>116</v>
      </c>
      <c r="H83" s="68" t="str">
        <f t="shared" si="3"/>
        <v xml:space="preserve">2 = Prefer not </v>
      </c>
      <c r="I83" s="69">
        <v>1</v>
      </c>
      <c r="J83" s="36"/>
    </row>
    <row r="84" spans="1:10" ht="20.05" customHeight="1" x14ac:dyDescent="0.3">
      <c r="A84" s="82"/>
      <c r="B84" s="67"/>
      <c r="C84" s="67"/>
      <c r="D84" s="67"/>
      <c r="E84" s="67"/>
      <c r="F84" s="67">
        <v>3</v>
      </c>
      <c r="G84" s="68" t="s">
        <v>117</v>
      </c>
      <c r="H84" s="68" t="str">
        <f t="shared" si="3"/>
        <v>3 = Indifferent</v>
      </c>
      <c r="I84" s="69">
        <v>1</v>
      </c>
      <c r="J84" s="36"/>
    </row>
    <row r="85" spans="1:10" ht="20.05" customHeight="1" x14ac:dyDescent="0.3">
      <c r="A85" s="82"/>
      <c r="B85" s="67"/>
      <c r="C85" s="67"/>
      <c r="D85" s="67"/>
      <c r="E85" s="67"/>
      <c r="F85" s="67">
        <v>4</v>
      </c>
      <c r="G85" s="68" t="s">
        <v>118</v>
      </c>
      <c r="H85" s="68" t="str">
        <f t="shared" si="3"/>
        <v>4 = Prefer</v>
      </c>
      <c r="I85" s="69">
        <v>1</v>
      </c>
      <c r="J85" s="36"/>
    </row>
    <row r="86" spans="1:10" ht="20.05" customHeight="1" thickBot="1" x14ac:dyDescent="0.35">
      <c r="A86" s="83"/>
      <c r="B86" s="60"/>
      <c r="C86" s="60"/>
      <c r="D86" s="60"/>
      <c r="E86" s="60"/>
      <c r="F86" s="60">
        <v>5</v>
      </c>
      <c r="G86" s="62" t="s">
        <v>119</v>
      </c>
      <c r="H86" s="62" t="str">
        <f t="shared" si="3"/>
        <v>5 = Strongly prefer</v>
      </c>
      <c r="I86" s="63">
        <v>1</v>
      </c>
      <c r="J86" s="36"/>
    </row>
    <row r="87" spans="1:10" ht="20.05" customHeight="1" x14ac:dyDescent="0.3">
      <c r="A87" s="52" t="s">
        <v>126</v>
      </c>
      <c r="B87" s="53" t="s">
        <v>126</v>
      </c>
      <c r="C87" s="53" t="s">
        <v>127</v>
      </c>
      <c r="D87" s="53" t="s">
        <v>127</v>
      </c>
      <c r="E87" s="55"/>
      <c r="F87" s="55">
        <v>1</v>
      </c>
      <c r="G87" s="53" t="s">
        <v>115</v>
      </c>
      <c r="H87" s="53" t="str">
        <f t="shared" si="3"/>
        <v>1 = Strongly prefer not</v>
      </c>
      <c r="I87" s="57">
        <v>1</v>
      </c>
      <c r="J87" s="36"/>
    </row>
    <row r="88" spans="1:10" ht="20.05" customHeight="1" x14ac:dyDescent="0.3">
      <c r="A88" s="82"/>
      <c r="B88" s="67"/>
      <c r="C88" s="67"/>
      <c r="D88" s="67"/>
      <c r="E88" s="67"/>
      <c r="F88" s="67">
        <v>2</v>
      </c>
      <c r="G88" s="68" t="s">
        <v>116</v>
      </c>
      <c r="H88" s="68" t="str">
        <f t="shared" si="3"/>
        <v xml:space="preserve">2 = Prefer not </v>
      </c>
      <c r="I88" s="69">
        <v>1</v>
      </c>
      <c r="J88" s="36"/>
    </row>
    <row r="89" spans="1:10" ht="20.05" customHeight="1" x14ac:dyDescent="0.3">
      <c r="A89" s="82"/>
      <c r="B89" s="67"/>
      <c r="C89" s="67"/>
      <c r="D89" s="67"/>
      <c r="E89" s="67"/>
      <c r="F89" s="67">
        <v>3</v>
      </c>
      <c r="G89" s="68" t="s">
        <v>117</v>
      </c>
      <c r="H89" s="68" t="str">
        <f t="shared" si="3"/>
        <v>3 = Indifferent</v>
      </c>
      <c r="I89" s="69">
        <v>1</v>
      </c>
      <c r="J89" s="36"/>
    </row>
    <row r="90" spans="1:10" ht="20.05" customHeight="1" x14ac:dyDescent="0.3">
      <c r="A90" s="82"/>
      <c r="B90" s="67"/>
      <c r="C90" s="67"/>
      <c r="D90" s="67"/>
      <c r="E90" s="67"/>
      <c r="F90" s="67">
        <v>4</v>
      </c>
      <c r="G90" s="68" t="s">
        <v>118</v>
      </c>
      <c r="H90" s="68" t="str">
        <f t="shared" si="3"/>
        <v>4 = Prefer</v>
      </c>
      <c r="I90" s="69">
        <v>1</v>
      </c>
      <c r="J90" s="36"/>
    </row>
    <row r="91" spans="1:10" ht="20.05" customHeight="1" thickBot="1" x14ac:dyDescent="0.35">
      <c r="A91" s="83"/>
      <c r="B91" s="60"/>
      <c r="C91" s="60"/>
      <c r="D91" s="60"/>
      <c r="E91" s="60"/>
      <c r="F91" s="60">
        <v>5</v>
      </c>
      <c r="G91" s="62" t="s">
        <v>119</v>
      </c>
      <c r="H91" s="62" t="str">
        <f t="shared" si="3"/>
        <v>5 = Strongly prefer</v>
      </c>
      <c r="I91" s="63">
        <v>1</v>
      </c>
      <c r="J91" s="36"/>
    </row>
    <row r="92" spans="1:10" ht="20.05" customHeight="1" x14ac:dyDescent="0.3">
      <c r="A92" s="52" t="s">
        <v>297</v>
      </c>
      <c r="B92" s="53" t="s">
        <v>128</v>
      </c>
      <c r="C92" s="53" t="s">
        <v>129</v>
      </c>
      <c r="D92" s="53" t="s">
        <v>129</v>
      </c>
      <c r="E92" s="55"/>
      <c r="F92" s="55">
        <v>1</v>
      </c>
      <c r="G92" s="53" t="s">
        <v>115</v>
      </c>
      <c r="H92" s="53" t="str">
        <f t="shared" si="3"/>
        <v>1 = Strongly prefer not</v>
      </c>
      <c r="I92" s="57">
        <v>1</v>
      </c>
      <c r="J92" s="36"/>
    </row>
    <row r="93" spans="1:10" ht="20.05" customHeight="1" x14ac:dyDescent="0.3">
      <c r="A93" s="82"/>
      <c r="B93" s="67"/>
      <c r="C93" s="67"/>
      <c r="D93" s="67"/>
      <c r="E93" s="67"/>
      <c r="F93" s="67">
        <v>2</v>
      </c>
      <c r="G93" s="68" t="s">
        <v>116</v>
      </c>
      <c r="H93" s="68" t="str">
        <f t="shared" si="3"/>
        <v xml:space="preserve">2 = Prefer not </v>
      </c>
      <c r="I93" s="69">
        <v>1</v>
      </c>
      <c r="J93" s="36"/>
    </row>
    <row r="94" spans="1:10" ht="20.05" customHeight="1" x14ac:dyDescent="0.3">
      <c r="A94" s="82"/>
      <c r="B94" s="67"/>
      <c r="C94" s="67"/>
      <c r="D94" s="67"/>
      <c r="E94" s="67"/>
      <c r="F94" s="67">
        <v>3</v>
      </c>
      <c r="G94" s="68" t="s">
        <v>117</v>
      </c>
      <c r="H94" s="68" t="str">
        <f t="shared" si="3"/>
        <v>3 = Indifferent</v>
      </c>
      <c r="I94" s="69">
        <v>1</v>
      </c>
      <c r="J94" s="36"/>
    </row>
    <row r="95" spans="1:10" ht="20.05" customHeight="1" x14ac:dyDescent="0.3">
      <c r="A95" s="82"/>
      <c r="B95" s="67"/>
      <c r="C95" s="67"/>
      <c r="D95" s="67"/>
      <c r="E95" s="67"/>
      <c r="F95" s="67">
        <v>4</v>
      </c>
      <c r="G95" s="68" t="s">
        <v>118</v>
      </c>
      <c r="H95" s="68" t="str">
        <f t="shared" si="3"/>
        <v>4 = Prefer</v>
      </c>
      <c r="I95" s="69">
        <v>1</v>
      </c>
      <c r="J95" s="36"/>
    </row>
    <row r="96" spans="1:10" ht="20.05" customHeight="1" thickBot="1" x14ac:dyDescent="0.35">
      <c r="A96" s="83"/>
      <c r="B96" s="60"/>
      <c r="C96" s="60"/>
      <c r="D96" s="60"/>
      <c r="E96" s="60"/>
      <c r="F96" s="60">
        <v>5</v>
      </c>
      <c r="G96" s="62" t="s">
        <v>119</v>
      </c>
      <c r="H96" s="62" t="str">
        <f t="shared" si="3"/>
        <v>5 = Strongly prefer</v>
      </c>
      <c r="I96" s="63">
        <v>1</v>
      </c>
      <c r="J96" s="36"/>
    </row>
    <row r="97" spans="1:10" ht="20.05" customHeight="1" x14ac:dyDescent="0.3">
      <c r="A97" s="52" t="s">
        <v>130</v>
      </c>
      <c r="B97" s="53" t="s">
        <v>130</v>
      </c>
      <c r="C97" s="55" t="s">
        <v>419</v>
      </c>
      <c r="D97" s="55" t="s">
        <v>420</v>
      </c>
      <c r="E97" s="55"/>
      <c r="F97" s="55">
        <v>1</v>
      </c>
      <c r="G97" s="53" t="s">
        <v>131</v>
      </c>
      <c r="H97" s="53" t="str">
        <f t="shared" si="3"/>
        <v>1 = Like</v>
      </c>
      <c r="I97" s="57">
        <v>1</v>
      </c>
      <c r="J97" s="36"/>
    </row>
    <row r="98" spans="1:10" ht="20.05" customHeight="1" x14ac:dyDescent="0.3">
      <c r="A98" s="82"/>
      <c r="B98" s="67"/>
      <c r="C98" s="67"/>
      <c r="D98" s="67"/>
      <c r="E98" s="67"/>
      <c r="F98" s="67">
        <v>2</v>
      </c>
      <c r="G98" s="68" t="s">
        <v>132</v>
      </c>
      <c r="H98" s="68" t="str">
        <f t="shared" si="3"/>
        <v>2 = Dislike</v>
      </c>
      <c r="I98" s="69">
        <v>1</v>
      </c>
      <c r="J98" s="36"/>
    </row>
    <row r="99" spans="1:10" ht="20.05" customHeight="1" thickBot="1" x14ac:dyDescent="0.35">
      <c r="A99" s="83"/>
      <c r="B99" s="60"/>
      <c r="C99" s="60"/>
      <c r="D99" s="60"/>
      <c r="E99" s="60"/>
      <c r="F99" s="60">
        <v>3</v>
      </c>
      <c r="G99" s="62" t="s">
        <v>133</v>
      </c>
      <c r="H99" s="62" t="str">
        <f t="shared" si="3"/>
        <v>3 = I would not react to this post</v>
      </c>
      <c r="I99" s="63">
        <v>1</v>
      </c>
      <c r="J99" s="36"/>
    </row>
    <row r="100" spans="1:10" s="38" customFormat="1" ht="20.05" customHeight="1" x14ac:dyDescent="0.3">
      <c r="A100" s="74" t="s">
        <v>134</v>
      </c>
      <c r="B100" s="70" t="s">
        <v>134</v>
      </c>
      <c r="C100" s="70" t="s">
        <v>135</v>
      </c>
      <c r="D100" s="70" t="s">
        <v>135</v>
      </c>
      <c r="E100" s="70"/>
      <c r="F100" s="70">
        <v>1</v>
      </c>
      <c r="G100" s="70" t="s">
        <v>136</v>
      </c>
      <c r="H100" s="53" t="str">
        <f t="shared" si="3"/>
        <v>1 = Not at all effective</v>
      </c>
      <c r="I100" s="71">
        <v>1</v>
      </c>
    </row>
    <row r="101" spans="1:10" s="38" customFormat="1" ht="20.05" customHeight="1" x14ac:dyDescent="0.3">
      <c r="A101" s="77"/>
      <c r="B101" s="76"/>
      <c r="C101" s="76"/>
      <c r="D101" s="76"/>
      <c r="E101" s="76"/>
      <c r="F101" s="76">
        <v>2</v>
      </c>
      <c r="G101" s="76" t="s">
        <v>137</v>
      </c>
      <c r="H101" s="68" t="str">
        <f t="shared" si="3"/>
        <v>2 = Slightly effective</v>
      </c>
      <c r="I101" s="78">
        <v>1</v>
      </c>
    </row>
    <row r="102" spans="1:10" s="38" customFormat="1" ht="20.05" customHeight="1" x14ac:dyDescent="0.3">
      <c r="A102" s="77"/>
      <c r="B102" s="76"/>
      <c r="C102" s="76"/>
      <c r="D102" s="76"/>
      <c r="E102" s="76"/>
      <c r="F102" s="76">
        <v>3</v>
      </c>
      <c r="G102" s="76" t="s">
        <v>138</v>
      </c>
      <c r="H102" s="68" t="str">
        <f t="shared" si="3"/>
        <v>3 = Moderately effective</v>
      </c>
      <c r="I102" s="78">
        <v>1</v>
      </c>
    </row>
    <row r="103" spans="1:10" s="38" customFormat="1" ht="20.05" customHeight="1" x14ac:dyDescent="0.3">
      <c r="A103" s="77"/>
      <c r="B103" s="76"/>
      <c r="C103" s="76"/>
      <c r="D103" s="76"/>
      <c r="E103" s="76"/>
      <c r="F103" s="76">
        <v>4</v>
      </c>
      <c r="G103" s="76" t="s">
        <v>139</v>
      </c>
      <c r="H103" s="68" t="str">
        <f t="shared" si="3"/>
        <v>4 = Very effective</v>
      </c>
      <c r="I103" s="78">
        <v>1</v>
      </c>
    </row>
    <row r="104" spans="1:10" s="38" customFormat="1" ht="20.05" customHeight="1" thickBot="1" x14ac:dyDescent="0.35">
      <c r="A104" s="72"/>
      <c r="B104" s="73"/>
      <c r="C104" s="73"/>
      <c r="D104" s="73"/>
      <c r="E104" s="73"/>
      <c r="F104" s="73">
        <v>5</v>
      </c>
      <c r="G104" s="73" t="s">
        <v>140</v>
      </c>
      <c r="H104" s="62" t="str">
        <f t="shared" si="3"/>
        <v>5 = Extremely effective</v>
      </c>
      <c r="I104" s="79">
        <v>1</v>
      </c>
    </row>
    <row r="105" spans="1:10" s="38" customFormat="1" ht="20.05" customHeight="1" x14ac:dyDescent="0.3">
      <c r="A105" s="74" t="s">
        <v>141</v>
      </c>
      <c r="B105" s="70" t="s">
        <v>142</v>
      </c>
      <c r="C105" s="70" t="s">
        <v>143</v>
      </c>
      <c r="D105" s="70" t="s">
        <v>143</v>
      </c>
      <c r="E105" s="70"/>
      <c r="F105" s="70">
        <v>1</v>
      </c>
      <c r="G105" s="70" t="s">
        <v>144</v>
      </c>
      <c r="H105" s="53" t="str">
        <f t="shared" si="3"/>
        <v>1 = Not at all different</v>
      </c>
      <c r="I105" s="71">
        <v>1</v>
      </c>
    </row>
    <row r="106" spans="1:10" s="38" customFormat="1" ht="20.05" customHeight="1" x14ac:dyDescent="0.3">
      <c r="A106" s="77"/>
      <c r="B106" s="76"/>
      <c r="C106" s="76"/>
      <c r="D106" s="76"/>
      <c r="E106" s="76"/>
      <c r="F106" s="76">
        <v>2</v>
      </c>
      <c r="G106" s="76" t="s">
        <v>145</v>
      </c>
      <c r="H106" s="68" t="str">
        <f t="shared" si="3"/>
        <v>2 = Slightly different</v>
      </c>
      <c r="I106" s="78">
        <v>1</v>
      </c>
    </row>
    <row r="107" spans="1:10" s="38" customFormat="1" ht="20.05" customHeight="1" x14ac:dyDescent="0.3">
      <c r="A107" s="77"/>
      <c r="B107" s="76"/>
      <c r="C107" s="76"/>
      <c r="D107" s="76"/>
      <c r="E107" s="76"/>
      <c r="F107" s="76">
        <v>3</v>
      </c>
      <c r="G107" s="76" t="s">
        <v>146</v>
      </c>
      <c r="H107" s="68" t="str">
        <f t="shared" si="3"/>
        <v>3 = Moderately different</v>
      </c>
      <c r="I107" s="78">
        <v>1</v>
      </c>
    </row>
    <row r="108" spans="1:10" s="38" customFormat="1" ht="20.05" customHeight="1" x14ac:dyDescent="0.3">
      <c r="A108" s="77"/>
      <c r="B108" s="76"/>
      <c r="C108" s="76"/>
      <c r="D108" s="76"/>
      <c r="E108" s="76"/>
      <c r="F108" s="76">
        <v>4</v>
      </c>
      <c r="G108" s="76" t="s">
        <v>147</v>
      </c>
      <c r="H108" s="68" t="str">
        <f t="shared" si="3"/>
        <v>4 = Very different</v>
      </c>
      <c r="I108" s="78">
        <v>1</v>
      </c>
    </row>
    <row r="109" spans="1:10" s="38" customFormat="1" ht="20.05" customHeight="1" thickBot="1" x14ac:dyDescent="0.35">
      <c r="A109" s="72"/>
      <c r="B109" s="73"/>
      <c r="C109" s="73"/>
      <c r="D109" s="73"/>
      <c r="E109" s="73"/>
      <c r="F109" s="73">
        <v>5</v>
      </c>
      <c r="G109" s="73" t="s">
        <v>148</v>
      </c>
      <c r="H109" s="62" t="str">
        <f t="shared" si="3"/>
        <v>5 = Extremely different</v>
      </c>
      <c r="I109" s="79">
        <v>1</v>
      </c>
    </row>
    <row r="110" spans="1:10" s="38" customFormat="1" ht="20.05" customHeight="1" thickBot="1" x14ac:dyDescent="0.35">
      <c r="A110" s="80" t="s">
        <v>149</v>
      </c>
      <c r="B110" s="64" t="s">
        <v>149</v>
      </c>
      <c r="C110" s="64"/>
      <c r="D110" s="64" t="s">
        <v>150</v>
      </c>
      <c r="E110" s="64"/>
      <c r="F110" s="64"/>
      <c r="G110" s="64"/>
      <c r="H110" s="48"/>
      <c r="I110" s="81">
        <v>1</v>
      </c>
    </row>
    <row r="111" spans="1:10" ht="20.05" customHeight="1" x14ac:dyDescent="0.3">
      <c r="A111" s="52" t="s">
        <v>151</v>
      </c>
      <c r="B111" s="53" t="s">
        <v>151</v>
      </c>
      <c r="C111" s="53" t="s">
        <v>152</v>
      </c>
      <c r="D111" s="55" t="s">
        <v>421</v>
      </c>
      <c r="E111" s="55"/>
      <c r="F111" s="55">
        <v>1</v>
      </c>
      <c r="G111" s="53" t="s">
        <v>131</v>
      </c>
      <c r="H111" s="53" t="str">
        <f t="shared" ref="H111:H122" si="4">_xlfn.CONCAT(F111," = ",G111)</f>
        <v>1 = Like</v>
      </c>
      <c r="I111" s="57">
        <v>1</v>
      </c>
      <c r="J111" s="36"/>
    </row>
    <row r="112" spans="1:10" ht="20.05" customHeight="1" x14ac:dyDescent="0.3">
      <c r="A112" s="82"/>
      <c r="B112" s="67"/>
      <c r="C112" s="67"/>
      <c r="D112" s="67"/>
      <c r="E112" s="67"/>
      <c r="F112" s="67">
        <v>2</v>
      </c>
      <c r="G112" s="68" t="s">
        <v>132</v>
      </c>
      <c r="H112" s="68" t="str">
        <f t="shared" si="4"/>
        <v>2 = Dislike</v>
      </c>
      <c r="I112" s="69">
        <v>1</v>
      </c>
      <c r="J112" s="36"/>
    </row>
    <row r="113" spans="1:10" ht="20.05" customHeight="1" thickBot="1" x14ac:dyDescent="0.35">
      <c r="A113" s="83"/>
      <c r="B113" s="60"/>
      <c r="C113" s="60"/>
      <c r="D113" s="60"/>
      <c r="E113" s="60"/>
      <c r="F113" s="60">
        <v>3</v>
      </c>
      <c r="G113" s="62" t="s">
        <v>133</v>
      </c>
      <c r="H113" s="62" t="str">
        <f t="shared" si="4"/>
        <v>3 = I would not react to this post</v>
      </c>
      <c r="I113" s="63">
        <v>1</v>
      </c>
      <c r="J113" s="36"/>
    </row>
    <row r="114" spans="1:10" ht="20.05" customHeight="1" x14ac:dyDescent="0.3">
      <c r="A114" s="52" t="s">
        <v>153</v>
      </c>
      <c r="B114" s="53" t="s">
        <v>153</v>
      </c>
      <c r="C114" s="53" t="s">
        <v>154</v>
      </c>
      <c r="D114" s="55" t="s">
        <v>154</v>
      </c>
      <c r="E114" s="55"/>
      <c r="F114" s="55">
        <v>1</v>
      </c>
      <c r="G114" s="53" t="s">
        <v>155</v>
      </c>
      <c r="H114" s="53" t="str">
        <f t="shared" si="4"/>
        <v>1 = Human</v>
      </c>
      <c r="I114" s="57">
        <v>1</v>
      </c>
      <c r="J114" s="36"/>
    </row>
    <row r="115" spans="1:10" ht="20.05" customHeight="1" x14ac:dyDescent="0.3">
      <c r="A115" s="82"/>
      <c r="B115" s="67"/>
      <c r="C115" s="67"/>
      <c r="D115" s="67"/>
      <c r="E115" s="67"/>
      <c r="F115" s="67">
        <v>2</v>
      </c>
      <c r="G115" s="68" t="s">
        <v>156</v>
      </c>
      <c r="H115" s="68" t="str">
        <f t="shared" si="4"/>
        <v>2 = Traditional rule-based bot</v>
      </c>
      <c r="I115" s="69">
        <v>1</v>
      </c>
      <c r="J115" s="36"/>
    </row>
    <row r="116" spans="1:10" ht="20.05" customHeight="1" thickBot="1" x14ac:dyDescent="0.35">
      <c r="A116" s="83"/>
      <c r="B116" s="60"/>
      <c r="C116" s="60"/>
      <c r="D116" s="60"/>
      <c r="E116" s="60"/>
      <c r="F116" s="60">
        <v>3</v>
      </c>
      <c r="G116" s="62" t="s">
        <v>157</v>
      </c>
      <c r="H116" s="62" t="str">
        <f t="shared" si="4"/>
        <v>3 = Conversational Gen-AI bot</v>
      </c>
      <c r="I116" s="63">
        <v>1</v>
      </c>
      <c r="J116" s="36"/>
    </row>
    <row r="117" spans="1:10" ht="20.05" customHeight="1" x14ac:dyDescent="0.3">
      <c r="A117" s="52" t="s">
        <v>158</v>
      </c>
      <c r="B117" s="53" t="s">
        <v>158</v>
      </c>
      <c r="C117" s="53" t="s">
        <v>152</v>
      </c>
      <c r="D117" s="55" t="s">
        <v>422</v>
      </c>
      <c r="E117" s="55"/>
      <c r="F117" s="55">
        <v>1</v>
      </c>
      <c r="G117" s="53" t="s">
        <v>131</v>
      </c>
      <c r="H117" s="53" t="str">
        <f t="shared" si="4"/>
        <v>1 = Like</v>
      </c>
      <c r="I117" s="57">
        <v>1</v>
      </c>
      <c r="J117" s="36"/>
    </row>
    <row r="118" spans="1:10" ht="20.05" customHeight="1" x14ac:dyDescent="0.3">
      <c r="A118" s="82"/>
      <c r="B118" s="67"/>
      <c r="C118" s="67"/>
      <c r="D118" s="67"/>
      <c r="E118" s="67"/>
      <c r="F118" s="67">
        <v>2</v>
      </c>
      <c r="G118" s="68" t="s">
        <v>132</v>
      </c>
      <c r="H118" s="68" t="str">
        <f t="shared" si="4"/>
        <v>2 = Dislike</v>
      </c>
      <c r="I118" s="69">
        <v>1</v>
      </c>
      <c r="J118" s="36"/>
    </row>
    <row r="119" spans="1:10" ht="20.05" customHeight="1" thickBot="1" x14ac:dyDescent="0.35">
      <c r="A119" s="83"/>
      <c r="B119" s="60"/>
      <c r="C119" s="60"/>
      <c r="D119" s="60"/>
      <c r="E119" s="60"/>
      <c r="F119" s="60">
        <v>3</v>
      </c>
      <c r="G119" s="62" t="s">
        <v>133</v>
      </c>
      <c r="H119" s="62" t="str">
        <f t="shared" si="4"/>
        <v>3 = I would not react to this post</v>
      </c>
      <c r="I119" s="63">
        <v>1</v>
      </c>
      <c r="J119" s="36"/>
    </row>
    <row r="120" spans="1:10" ht="20.05" customHeight="1" x14ac:dyDescent="0.3">
      <c r="A120" s="52" t="s">
        <v>159</v>
      </c>
      <c r="B120" s="53" t="s">
        <v>159</v>
      </c>
      <c r="C120" s="53" t="s">
        <v>154</v>
      </c>
      <c r="D120" s="55" t="s">
        <v>154</v>
      </c>
      <c r="E120" s="55"/>
      <c r="F120" s="55">
        <v>1</v>
      </c>
      <c r="G120" s="53" t="s">
        <v>155</v>
      </c>
      <c r="H120" s="53" t="str">
        <f t="shared" si="4"/>
        <v>1 = Human</v>
      </c>
      <c r="I120" s="57">
        <v>1</v>
      </c>
      <c r="J120" s="36"/>
    </row>
    <row r="121" spans="1:10" ht="20.05" customHeight="1" x14ac:dyDescent="0.3">
      <c r="A121" s="82"/>
      <c r="B121" s="67"/>
      <c r="C121" s="67"/>
      <c r="D121" s="67"/>
      <c r="E121" s="67"/>
      <c r="F121" s="67">
        <v>2</v>
      </c>
      <c r="G121" s="68" t="s">
        <v>156</v>
      </c>
      <c r="H121" s="68" t="str">
        <f t="shared" si="4"/>
        <v>2 = Traditional rule-based bot</v>
      </c>
      <c r="I121" s="69">
        <v>1</v>
      </c>
      <c r="J121" s="36"/>
    </row>
    <row r="122" spans="1:10" ht="20.05" customHeight="1" thickBot="1" x14ac:dyDescent="0.35">
      <c r="A122" s="83"/>
      <c r="B122" s="60"/>
      <c r="C122" s="60"/>
      <c r="D122" s="60"/>
      <c r="E122" s="60"/>
      <c r="F122" s="60">
        <v>3</v>
      </c>
      <c r="G122" s="62" t="s">
        <v>157</v>
      </c>
      <c r="H122" s="62" t="str">
        <f t="shared" si="4"/>
        <v>3 = Conversational Gen-AI bot</v>
      </c>
      <c r="I122" s="63">
        <v>1</v>
      </c>
      <c r="J122" s="36"/>
    </row>
    <row r="123" spans="1:10" s="38" customFormat="1" ht="20.05" customHeight="1" thickBot="1" x14ac:dyDescent="0.35">
      <c r="A123" s="80" t="s">
        <v>160</v>
      </c>
      <c r="B123" s="64" t="s">
        <v>160</v>
      </c>
      <c r="C123" s="64" t="s">
        <v>429</v>
      </c>
      <c r="D123" s="64" t="s">
        <v>519</v>
      </c>
      <c r="E123" s="64" t="s">
        <v>50</v>
      </c>
      <c r="F123" s="64"/>
      <c r="G123" s="64"/>
      <c r="H123" s="64"/>
      <c r="I123" s="81">
        <v>1</v>
      </c>
    </row>
    <row r="124" spans="1:10" ht="20.05" customHeight="1" x14ac:dyDescent="0.3">
      <c r="A124" s="52" t="s">
        <v>161</v>
      </c>
      <c r="B124" s="53" t="s">
        <v>161</v>
      </c>
      <c r="C124" s="53" t="s">
        <v>162</v>
      </c>
      <c r="D124" s="53" t="s">
        <v>424</v>
      </c>
      <c r="E124" s="54"/>
      <c r="F124" s="55">
        <v>1</v>
      </c>
      <c r="G124" s="53" t="s">
        <v>163</v>
      </c>
      <c r="H124" s="53" t="str">
        <f>_xlfn.CONCAT(F124," = ",G124)</f>
        <v>1 = Yes</v>
      </c>
      <c r="I124" s="57">
        <v>1</v>
      </c>
      <c r="J124" s="36"/>
    </row>
    <row r="125" spans="1:10" ht="20.05" customHeight="1" thickBot="1" x14ac:dyDescent="0.35">
      <c r="A125" s="58"/>
      <c r="B125" s="59"/>
      <c r="C125" s="59"/>
      <c r="D125" s="59"/>
      <c r="E125" s="59"/>
      <c r="F125" s="60">
        <v>0</v>
      </c>
      <c r="G125" s="62" t="s">
        <v>164</v>
      </c>
      <c r="H125" s="62" t="str">
        <f>_xlfn.CONCAT(F125," = ",G125)</f>
        <v>0 = No</v>
      </c>
      <c r="I125" s="63">
        <v>1</v>
      </c>
      <c r="J125" s="36"/>
    </row>
    <row r="126" spans="1:10" ht="20.05" customHeight="1" thickBot="1" x14ac:dyDescent="0.35">
      <c r="A126" s="47" t="s">
        <v>165</v>
      </c>
      <c r="B126" s="48" t="s">
        <v>165</v>
      </c>
      <c r="C126" s="48" t="s">
        <v>166</v>
      </c>
      <c r="D126" s="48" t="s">
        <v>423</v>
      </c>
      <c r="E126" s="48" t="s">
        <v>50</v>
      </c>
      <c r="F126" s="51"/>
      <c r="G126" s="51"/>
      <c r="H126" s="48"/>
      <c r="I126" s="50">
        <v>1</v>
      </c>
      <c r="J126" s="36"/>
    </row>
    <row r="127" spans="1:10" ht="20.05" customHeight="1" thickBot="1" x14ac:dyDescent="0.35">
      <c r="A127" s="52" t="s">
        <v>425</v>
      </c>
      <c r="B127" s="53" t="s">
        <v>425</v>
      </c>
      <c r="C127" s="53" t="s">
        <v>166</v>
      </c>
      <c r="D127" s="53" t="s">
        <v>423</v>
      </c>
      <c r="E127" s="53" t="s">
        <v>50</v>
      </c>
      <c r="F127" s="55"/>
      <c r="G127" s="55"/>
      <c r="H127" s="53"/>
      <c r="I127" s="57"/>
      <c r="J127" s="36"/>
    </row>
    <row r="128" spans="1:10" ht="20.05" customHeight="1" x14ac:dyDescent="0.3">
      <c r="A128" s="52" t="s">
        <v>167</v>
      </c>
      <c r="B128" s="53" t="s">
        <v>167</v>
      </c>
      <c r="C128" s="53" t="s">
        <v>168</v>
      </c>
      <c r="D128" s="53" t="s">
        <v>428</v>
      </c>
      <c r="E128" s="53"/>
      <c r="F128" s="53">
        <v>1</v>
      </c>
      <c r="G128" s="53" t="s">
        <v>250</v>
      </c>
      <c r="H128" s="53" t="str">
        <f>_xlfn.CONCAT(F128," = ",G128)</f>
        <v>1 = No AI</v>
      </c>
      <c r="I128" s="89">
        <v>1</v>
      </c>
      <c r="J128" s="36"/>
    </row>
    <row r="129" spans="1:1024" ht="20.05" customHeight="1" thickBot="1" x14ac:dyDescent="0.35">
      <c r="A129" s="75"/>
      <c r="B129" s="62"/>
      <c r="C129" s="62"/>
      <c r="D129" s="62"/>
      <c r="E129" s="62"/>
      <c r="F129" s="62">
        <v>3</v>
      </c>
      <c r="G129" s="62" t="s">
        <v>248</v>
      </c>
      <c r="H129" s="62" t="str">
        <f>_xlfn.CONCAT(F129," = ",G129)</f>
        <v>3 = AI</v>
      </c>
      <c r="I129" s="90">
        <v>1</v>
      </c>
      <c r="J129" s="36"/>
    </row>
    <row r="130" spans="1:1024" ht="20.05" customHeight="1" x14ac:dyDescent="0.3">
      <c r="A130" s="52" t="s">
        <v>171</v>
      </c>
      <c r="B130" s="53" t="s">
        <v>169</v>
      </c>
      <c r="C130" s="53" t="s">
        <v>170</v>
      </c>
      <c r="D130" s="53" t="s">
        <v>427</v>
      </c>
      <c r="E130" s="54"/>
      <c r="F130" s="55">
        <v>0</v>
      </c>
      <c r="G130" s="53" t="s">
        <v>172</v>
      </c>
      <c r="H130" s="53" t="str">
        <f>_xlfn.CONCAT(F130," = ",G130)</f>
        <v>0 = Anonymous</v>
      </c>
      <c r="I130" s="57">
        <v>1</v>
      </c>
      <c r="J130" s="36"/>
    </row>
    <row r="131" spans="1:1024" ht="20.05" customHeight="1" thickBot="1" x14ac:dyDescent="0.35">
      <c r="A131" s="58"/>
      <c r="B131" s="59"/>
      <c r="C131" s="59"/>
      <c r="D131" s="59"/>
      <c r="E131" s="59"/>
      <c r="F131" s="60">
        <v>1</v>
      </c>
      <c r="G131" s="62" t="s">
        <v>173</v>
      </c>
      <c r="H131" s="62" t="str">
        <f>_xlfn.CONCAT(F131," = ",G131)</f>
        <v>1 = Identified</v>
      </c>
      <c r="I131" s="63">
        <v>1</v>
      </c>
      <c r="J131" s="36"/>
    </row>
    <row r="132" spans="1:1024" ht="20.05" customHeight="1" thickBot="1" x14ac:dyDescent="0.35">
      <c r="A132" s="84" t="s">
        <v>174</v>
      </c>
      <c r="B132" s="49" t="s">
        <v>174</v>
      </c>
      <c r="C132" s="49" t="s">
        <v>175</v>
      </c>
      <c r="D132" s="49"/>
      <c r="E132" s="49"/>
      <c r="F132" s="51">
        <v>1</v>
      </c>
      <c r="G132" s="51">
        <v>1</v>
      </c>
      <c r="H132" s="48" t="s">
        <v>10</v>
      </c>
      <c r="I132" s="50">
        <v>1</v>
      </c>
      <c r="J132" s="36"/>
    </row>
    <row r="133" spans="1:1024" ht="20.05" customHeight="1" x14ac:dyDescent="0.3">
      <c r="A133" s="85" t="s">
        <v>176</v>
      </c>
      <c r="B133" s="54" t="s">
        <v>176</v>
      </c>
      <c r="C133" s="54"/>
      <c r="D133" s="54" t="s">
        <v>177</v>
      </c>
      <c r="E133" s="54"/>
      <c r="F133" s="55">
        <v>0</v>
      </c>
      <c r="G133" s="53" t="s">
        <v>178</v>
      </c>
      <c r="H133" s="53" t="str">
        <f>_xlfn.CONCAT(F133," = ",G133)</f>
        <v>0 = incorrect</v>
      </c>
      <c r="I133" s="57">
        <v>1</v>
      </c>
      <c r="J133" s="36"/>
    </row>
    <row r="134" spans="1:1024" ht="20.05" customHeight="1" thickBot="1" x14ac:dyDescent="0.35">
      <c r="A134" s="58"/>
      <c r="B134" s="59"/>
      <c r="C134" s="59"/>
      <c r="D134" s="59"/>
      <c r="E134" s="59"/>
      <c r="F134" s="60">
        <v>1</v>
      </c>
      <c r="G134" s="62" t="s">
        <v>179</v>
      </c>
      <c r="H134" s="62" t="str">
        <f>_xlfn.CONCAT(F134," = ",G134)</f>
        <v>1 = correct</v>
      </c>
      <c r="I134" s="63">
        <v>1</v>
      </c>
      <c r="J134" s="36"/>
    </row>
    <row r="135" spans="1:1024" s="38" customFormat="1" ht="20.05" customHeight="1" thickBot="1" x14ac:dyDescent="0.35">
      <c r="A135" s="80" t="s">
        <v>180</v>
      </c>
      <c r="B135" s="64" t="s">
        <v>180</v>
      </c>
      <c r="C135" s="64"/>
      <c r="D135" s="64" t="s">
        <v>430</v>
      </c>
      <c r="E135" s="64" t="s">
        <v>417</v>
      </c>
      <c r="F135" s="64"/>
      <c r="G135" s="64"/>
      <c r="H135" s="64"/>
      <c r="I135" s="81">
        <v>1</v>
      </c>
    </row>
    <row r="136" spans="1:1024" s="38" customFormat="1" ht="20.05" customHeight="1" thickBot="1" x14ac:dyDescent="0.35">
      <c r="A136" s="80" t="s">
        <v>181</v>
      </c>
      <c r="B136" s="64" t="s">
        <v>181</v>
      </c>
      <c r="C136" s="64"/>
      <c r="D136" s="64"/>
      <c r="E136" s="64" t="s">
        <v>418</v>
      </c>
      <c r="F136" s="64"/>
      <c r="G136" s="64"/>
      <c r="H136" s="64" t="s">
        <v>10</v>
      </c>
      <c r="I136" s="81">
        <v>1</v>
      </c>
    </row>
    <row r="137" spans="1:1024" s="38" customFormat="1" ht="20.05" customHeight="1" thickBot="1" x14ac:dyDescent="0.35">
      <c r="A137" s="80" t="s">
        <v>182</v>
      </c>
      <c r="B137" s="64" t="s">
        <v>182</v>
      </c>
      <c r="C137" s="64"/>
      <c r="D137" s="64"/>
      <c r="E137" s="64" t="s">
        <v>418</v>
      </c>
      <c r="F137" s="64"/>
      <c r="G137" s="64"/>
      <c r="H137" s="64" t="s">
        <v>10</v>
      </c>
      <c r="I137" s="81">
        <v>1</v>
      </c>
    </row>
    <row r="138" spans="1:1024" s="38" customFormat="1" ht="20.05" customHeight="1" thickBot="1" x14ac:dyDescent="0.35">
      <c r="A138" s="80" t="s">
        <v>183</v>
      </c>
      <c r="B138" s="64" t="s">
        <v>183</v>
      </c>
      <c r="C138" s="64"/>
      <c r="D138" s="64" t="s">
        <v>517</v>
      </c>
      <c r="E138" s="64"/>
      <c r="F138" s="64"/>
      <c r="G138" s="64"/>
      <c r="H138" s="64"/>
      <c r="I138" s="81">
        <v>1</v>
      </c>
    </row>
    <row r="139" spans="1:1024" customFormat="1" ht="20.05" customHeight="1" thickBot="1" x14ac:dyDescent="0.35">
      <c r="A139" s="80" t="s">
        <v>184</v>
      </c>
      <c r="B139" s="64" t="s">
        <v>184</v>
      </c>
      <c r="C139" s="64"/>
      <c r="D139" s="64" t="s">
        <v>518</v>
      </c>
      <c r="E139" s="64"/>
      <c r="F139" s="64"/>
      <c r="G139" s="64"/>
      <c r="H139" s="64" t="s">
        <v>10</v>
      </c>
      <c r="I139" s="81">
        <v>1</v>
      </c>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c r="BK139" s="38"/>
      <c r="BL139" s="38"/>
      <c r="BM139" s="38"/>
      <c r="BN139" s="38"/>
      <c r="BO139" s="38"/>
      <c r="BP139" s="38"/>
      <c r="BQ139" s="38"/>
      <c r="BR139" s="38"/>
      <c r="BS139" s="38"/>
      <c r="BT139" s="38"/>
      <c r="BU139" s="38"/>
      <c r="BV139" s="38"/>
      <c r="BW139" s="38"/>
      <c r="BX139" s="38"/>
      <c r="BY139" s="38"/>
      <c r="BZ139" s="38"/>
      <c r="CA139" s="38"/>
      <c r="CB139" s="38"/>
      <c r="CC139" s="38"/>
      <c r="CD139" s="38"/>
      <c r="CE139" s="38"/>
      <c r="CF139" s="38"/>
      <c r="CG139" s="38"/>
      <c r="CH139" s="38"/>
      <c r="CI139" s="38"/>
      <c r="CJ139" s="38"/>
      <c r="CK139" s="38"/>
      <c r="CL139" s="38"/>
      <c r="CM139" s="38"/>
      <c r="CN139" s="38"/>
      <c r="CO139" s="38"/>
      <c r="CP139" s="38"/>
      <c r="CQ139" s="38"/>
      <c r="CR139" s="38"/>
      <c r="CS139" s="38"/>
      <c r="CT139" s="38"/>
      <c r="CU139" s="38"/>
      <c r="CV139" s="38"/>
      <c r="CW139" s="38"/>
      <c r="CX139" s="38"/>
      <c r="CY139" s="38"/>
      <c r="CZ139" s="38"/>
      <c r="DA139" s="38"/>
      <c r="DB139" s="38"/>
      <c r="DC139" s="38"/>
      <c r="DD139" s="38"/>
      <c r="DE139" s="38"/>
      <c r="DF139" s="38"/>
      <c r="DG139" s="38"/>
      <c r="DH139" s="38"/>
      <c r="DI139" s="38"/>
      <c r="DJ139" s="38"/>
      <c r="DK139" s="38"/>
      <c r="DL139" s="38"/>
      <c r="DM139" s="38"/>
      <c r="DN139" s="38"/>
      <c r="DO139" s="38"/>
      <c r="DP139" s="38"/>
      <c r="DQ139" s="38"/>
      <c r="DR139" s="38"/>
      <c r="DS139" s="38"/>
      <c r="DT139" s="38"/>
      <c r="DU139" s="38"/>
      <c r="DV139" s="38"/>
      <c r="DW139" s="38"/>
      <c r="DX139" s="38"/>
      <c r="DY139" s="38"/>
      <c r="DZ139" s="38"/>
      <c r="EA139" s="38"/>
      <c r="EB139" s="38"/>
      <c r="EC139" s="38"/>
      <c r="ED139" s="38"/>
      <c r="EE139" s="38"/>
      <c r="EF139" s="38"/>
      <c r="EG139" s="38"/>
      <c r="EH139" s="38"/>
      <c r="EI139" s="38"/>
      <c r="EJ139" s="38"/>
      <c r="EK139" s="38"/>
      <c r="EL139" s="38"/>
      <c r="EM139" s="38"/>
      <c r="EN139" s="38"/>
      <c r="EO139" s="38"/>
      <c r="EP139" s="38"/>
      <c r="EQ139" s="38"/>
      <c r="ER139" s="38"/>
      <c r="ES139" s="38"/>
      <c r="ET139" s="38"/>
      <c r="EU139" s="38"/>
      <c r="EV139" s="38"/>
      <c r="EW139" s="38"/>
      <c r="EX139" s="38"/>
      <c r="EY139" s="38"/>
      <c r="EZ139" s="38"/>
      <c r="FA139" s="38"/>
      <c r="FB139" s="38"/>
      <c r="FC139" s="38"/>
      <c r="FD139" s="38"/>
      <c r="FE139" s="38"/>
      <c r="FF139" s="38"/>
      <c r="FG139" s="38"/>
      <c r="FH139" s="38"/>
      <c r="FI139" s="38"/>
      <c r="FJ139" s="38"/>
      <c r="FK139" s="38"/>
      <c r="FL139" s="38"/>
      <c r="FM139" s="38"/>
      <c r="FN139" s="38"/>
      <c r="FO139" s="38"/>
      <c r="FP139" s="38"/>
      <c r="FQ139" s="38"/>
      <c r="FR139" s="38"/>
      <c r="FS139" s="38"/>
      <c r="FT139" s="38"/>
      <c r="FU139" s="38"/>
      <c r="FV139" s="38"/>
      <c r="FW139" s="38"/>
      <c r="FX139" s="38"/>
      <c r="FY139" s="38"/>
      <c r="FZ139" s="38"/>
      <c r="GA139" s="38"/>
      <c r="GB139" s="38"/>
      <c r="GC139" s="38"/>
      <c r="GD139" s="38"/>
      <c r="GE139" s="38"/>
      <c r="GF139" s="38"/>
      <c r="GG139" s="38"/>
      <c r="GH139" s="38"/>
      <c r="GI139" s="38"/>
      <c r="GJ139" s="38"/>
      <c r="GK139" s="38"/>
      <c r="GL139" s="38"/>
      <c r="GM139" s="38"/>
      <c r="GN139" s="38"/>
      <c r="GO139" s="38"/>
      <c r="GP139" s="38"/>
      <c r="GQ139" s="38"/>
      <c r="GR139" s="38"/>
      <c r="GS139" s="38"/>
      <c r="GT139" s="38"/>
      <c r="GU139" s="38"/>
      <c r="GV139" s="38"/>
      <c r="GW139" s="38"/>
      <c r="GX139" s="38"/>
      <c r="GY139" s="38"/>
      <c r="GZ139" s="38"/>
      <c r="HA139" s="38"/>
      <c r="HB139" s="38"/>
      <c r="HC139" s="38"/>
      <c r="HD139" s="38"/>
      <c r="HE139" s="38"/>
      <c r="HF139" s="38"/>
      <c r="HG139" s="38"/>
      <c r="HH139" s="38"/>
      <c r="HI139" s="38"/>
      <c r="HJ139" s="38"/>
      <c r="HK139" s="38"/>
      <c r="HL139" s="38"/>
      <c r="HM139" s="38"/>
      <c r="HN139" s="38"/>
      <c r="HO139" s="38"/>
      <c r="HP139" s="38"/>
      <c r="HQ139" s="38"/>
      <c r="HR139" s="38"/>
      <c r="HS139" s="38"/>
      <c r="HT139" s="38"/>
      <c r="HU139" s="38"/>
      <c r="HV139" s="38"/>
      <c r="HW139" s="38"/>
      <c r="HX139" s="38"/>
      <c r="HY139" s="38"/>
      <c r="HZ139" s="38"/>
      <c r="IA139" s="38"/>
      <c r="IB139" s="38"/>
      <c r="IC139" s="38"/>
      <c r="ID139" s="38"/>
      <c r="IE139" s="38"/>
      <c r="IF139" s="38"/>
      <c r="IG139" s="38"/>
      <c r="IH139" s="38"/>
      <c r="II139" s="38"/>
      <c r="IJ139" s="38"/>
      <c r="IK139" s="38"/>
      <c r="IL139" s="38"/>
      <c r="IM139" s="38"/>
      <c r="IN139" s="38"/>
      <c r="IO139" s="38"/>
      <c r="IP139" s="38"/>
      <c r="IQ139" s="38"/>
      <c r="IR139" s="38"/>
      <c r="IS139" s="38"/>
      <c r="IT139" s="38"/>
      <c r="IU139" s="38"/>
      <c r="IV139" s="38"/>
      <c r="IW139" s="38"/>
      <c r="IX139" s="38"/>
      <c r="IY139" s="38"/>
      <c r="IZ139" s="38"/>
      <c r="JA139" s="38"/>
      <c r="JB139" s="38"/>
      <c r="JC139" s="38"/>
      <c r="JD139" s="38"/>
      <c r="JE139" s="38"/>
      <c r="JF139" s="38"/>
      <c r="JG139" s="38"/>
      <c r="JH139" s="38"/>
      <c r="JI139" s="38"/>
      <c r="JJ139" s="38"/>
      <c r="JK139" s="38"/>
      <c r="JL139" s="38"/>
      <c r="JM139" s="38"/>
      <c r="JN139" s="38"/>
      <c r="JO139" s="38"/>
      <c r="JP139" s="38"/>
      <c r="JQ139" s="38"/>
      <c r="JR139" s="38"/>
      <c r="JS139" s="38"/>
      <c r="JT139" s="38"/>
      <c r="JU139" s="38"/>
      <c r="JV139" s="38"/>
      <c r="JW139" s="38"/>
      <c r="JX139" s="38"/>
      <c r="JY139" s="38"/>
      <c r="JZ139" s="38"/>
      <c r="KA139" s="38"/>
      <c r="KB139" s="38"/>
      <c r="KC139" s="38"/>
      <c r="KD139" s="38"/>
      <c r="KE139" s="38"/>
      <c r="KF139" s="38"/>
      <c r="KG139" s="38"/>
      <c r="KH139" s="38"/>
      <c r="KI139" s="38"/>
      <c r="KJ139" s="38"/>
      <c r="KK139" s="38"/>
      <c r="KL139" s="38"/>
      <c r="KM139" s="38"/>
      <c r="KN139" s="38"/>
      <c r="KO139" s="38"/>
      <c r="KP139" s="38"/>
      <c r="KQ139" s="38"/>
      <c r="KR139" s="38"/>
      <c r="KS139" s="38"/>
      <c r="KT139" s="38"/>
      <c r="KU139" s="38"/>
      <c r="KV139" s="38"/>
      <c r="KW139" s="38"/>
      <c r="KX139" s="38"/>
      <c r="KY139" s="38"/>
      <c r="KZ139" s="38"/>
      <c r="LA139" s="38"/>
      <c r="LB139" s="38"/>
      <c r="LC139" s="38"/>
      <c r="LD139" s="38"/>
      <c r="LE139" s="38"/>
      <c r="LF139" s="38"/>
      <c r="LG139" s="38"/>
      <c r="LH139" s="38"/>
      <c r="LI139" s="38"/>
      <c r="LJ139" s="38"/>
      <c r="LK139" s="38"/>
      <c r="LL139" s="38"/>
      <c r="LM139" s="38"/>
      <c r="LN139" s="38"/>
      <c r="LO139" s="38"/>
      <c r="LP139" s="38"/>
      <c r="LQ139" s="38"/>
      <c r="LR139" s="38"/>
      <c r="LS139" s="38"/>
      <c r="LT139" s="38"/>
      <c r="LU139" s="38"/>
      <c r="LV139" s="38"/>
      <c r="LW139" s="38"/>
      <c r="LX139" s="38"/>
      <c r="LY139" s="38"/>
      <c r="LZ139" s="38"/>
      <c r="MA139" s="38"/>
      <c r="MB139" s="38"/>
      <c r="MC139" s="38"/>
      <c r="MD139" s="38"/>
      <c r="ME139" s="38"/>
      <c r="MF139" s="38"/>
      <c r="MG139" s="38"/>
      <c r="MH139" s="38"/>
      <c r="MI139" s="38"/>
      <c r="MJ139" s="38"/>
      <c r="MK139" s="38"/>
      <c r="ML139" s="38"/>
      <c r="MM139" s="38"/>
      <c r="MN139" s="38"/>
      <c r="MO139" s="38"/>
      <c r="MP139" s="38"/>
      <c r="MQ139" s="38"/>
      <c r="MR139" s="38"/>
      <c r="MS139" s="38"/>
      <c r="MT139" s="38"/>
      <c r="MU139" s="38"/>
      <c r="MV139" s="38"/>
      <c r="MW139" s="38"/>
      <c r="MX139" s="38"/>
      <c r="MY139" s="38"/>
      <c r="MZ139" s="38"/>
      <c r="NA139" s="38"/>
      <c r="NB139" s="38"/>
      <c r="NC139" s="38"/>
      <c r="ND139" s="38"/>
      <c r="NE139" s="38"/>
      <c r="NF139" s="38"/>
      <c r="NG139" s="38"/>
      <c r="NH139" s="38"/>
      <c r="NI139" s="38"/>
      <c r="NJ139" s="38"/>
      <c r="NK139" s="38"/>
      <c r="NL139" s="38"/>
      <c r="NM139" s="38"/>
      <c r="NN139" s="38"/>
      <c r="NO139" s="38"/>
      <c r="NP139" s="38"/>
      <c r="NQ139" s="38"/>
      <c r="NR139" s="38"/>
      <c r="NS139" s="38"/>
      <c r="NT139" s="38"/>
      <c r="NU139" s="38"/>
      <c r="NV139" s="38"/>
      <c r="NW139" s="38"/>
      <c r="NX139" s="38"/>
      <c r="NY139" s="38"/>
      <c r="NZ139" s="38"/>
      <c r="OA139" s="38"/>
      <c r="OB139" s="38"/>
      <c r="OC139" s="38"/>
      <c r="OD139" s="38"/>
      <c r="OE139" s="38"/>
      <c r="OF139" s="38"/>
      <c r="OG139" s="38"/>
      <c r="OH139" s="38"/>
      <c r="OI139" s="38"/>
      <c r="OJ139" s="38"/>
      <c r="OK139" s="38"/>
      <c r="OL139" s="38"/>
      <c r="OM139" s="38"/>
      <c r="ON139" s="38"/>
      <c r="OO139" s="38"/>
      <c r="OP139" s="38"/>
      <c r="OQ139" s="38"/>
      <c r="OR139" s="38"/>
      <c r="OS139" s="38"/>
      <c r="OT139" s="38"/>
      <c r="OU139" s="38"/>
      <c r="OV139" s="38"/>
      <c r="OW139" s="38"/>
      <c r="OX139" s="38"/>
      <c r="OY139" s="38"/>
      <c r="OZ139" s="38"/>
      <c r="PA139" s="38"/>
      <c r="PB139" s="38"/>
      <c r="PC139" s="38"/>
      <c r="PD139" s="38"/>
      <c r="PE139" s="38"/>
      <c r="PF139" s="38"/>
      <c r="PG139" s="38"/>
      <c r="PH139" s="38"/>
      <c r="PI139" s="38"/>
      <c r="PJ139" s="38"/>
      <c r="PK139" s="38"/>
      <c r="PL139" s="38"/>
      <c r="PM139" s="38"/>
      <c r="PN139" s="38"/>
      <c r="PO139" s="38"/>
      <c r="PP139" s="38"/>
      <c r="PQ139" s="38"/>
      <c r="PR139" s="38"/>
      <c r="PS139" s="38"/>
      <c r="PT139" s="38"/>
      <c r="PU139" s="38"/>
      <c r="PV139" s="38"/>
      <c r="PW139" s="38"/>
      <c r="PX139" s="38"/>
      <c r="PY139" s="38"/>
      <c r="PZ139" s="38"/>
      <c r="QA139" s="38"/>
      <c r="QB139" s="38"/>
      <c r="QC139" s="38"/>
      <c r="QD139" s="38"/>
      <c r="QE139" s="38"/>
      <c r="QF139" s="38"/>
      <c r="QG139" s="38"/>
      <c r="QH139" s="38"/>
      <c r="QI139" s="38"/>
      <c r="QJ139" s="38"/>
      <c r="QK139" s="38"/>
      <c r="QL139" s="38"/>
      <c r="QM139" s="38"/>
      <c r="QN139" s="38"/>
      <c r="QO139" s="38"/>
      <c r="QP139" s="38"/>
      <c r="QQ139" s="38"/>
      <c r="QR139" s="38"/>
      <c r="QS139" s="38"/>
      <c r="QT139" s="38"/>
      <c r="QU139" s="38"/>
      <c r="QV139" s="38"/>
      <c r="QW139" s="38"/>
      <c r="QX139" s="38"/>
      <c r="QY139" s="38"/>
      <c r="QZ139" s="38"/>
      <c r="RA139" s="38"/>
      <c r="RB139" s="38"/>
      <c r="RC139" s="38"/>
      <c r="RD139" s="38"/>
      <c r="RE139" s="38"/>
      <c r="RF139" s="38"/>
      <c r="RG139" s="38"/>
      <c r="RH139" s="38"/>
      <c r="RI139" s="38"/>
      <c r="RJ139" s="38"/>
      <c r="RK139" s="38"/>
      <c r="RL139" s="38"/>
      <c r="RM139" s="38"/>
      <c r="RN139" s="38"/>
      <c r="RO139" s="38"/>
      <c r="RP139" s="38"/>
      <c r="RQ139" s="38"/>
      <c r="RR139" s="38"/>
      <c r="RS139" s="38"/>
      <c r="RT139" s="38"/>
      <c r="RU139" s="38"/>
      <c r="RV139" s="38"/>
      <c r="RW139" s="38"/>
      <c r="RX139" s="38"/>
      <c r="RY139" s="38"/>
      <c r="RZ139" s="38"/>
      <c r="SA139" s="38"/>
      <c r="SB139" s="38"/>
      <c r="SC139" s="38"/>
      <c r="SD139" s="38"/>
      <c r="SE139" s="38"/>
      <c r="SF139" s="38"/>
      <c r="SG139" s="38"/>
      <c r="SH139" s="38"/>
      <c r="SI139" s="38"/>
      <c r="SJ139" s="38"/>
      <c r="SK139" s="38"/>
      <c r="SL139" s="38"/>
      <c r="SM139" s="38"/>
      <c r="SN139" s="38"/>
      <c r="SO139" s="38"/>
      <c r="SP139" s="38"/>
      <c r="SQ139" s="38"/>
      <c r="SR139" s="38"/>
      <c r="SS139" s="38"/>
      <c r="ST139" s="38"/>
      <c r="SU139" s="38"/>
      <c r="SV139" s="38"/>
      <c r="SW139" s="38"/>
      <c r="SX139" s="38"/>
      <c r="SY139" s="38"/>
      <c r="SZ139" s="38"/>
      <c r="TA139" s="38"/>
      <c r="TB139" s="38"/>
      <c r="TC139" s="38"/>
      <c r="TD139" s="38"/>
      <c r="TE139" s="38"/>
      <c r="TF139" s="38"/>
      <c r="TG139" s="38"/>
      <c r="TH139" s="38"/>
      <c r="TI139" s="38"/>
      <c r="TJ139" s="38"/>
      <c r="TK139" s="38"/>
      <c r="TL139" s="38"/>
      <c r="TM139" s="38"/>
      <c r="TN139" s="38"/>
      <c r="TO139" s="38"/>
      <c r="TP139" s="38"/>
      <c r="TQ139" s="38"/>
      <c r="TR139" s="38"/>
      <c r="TS139" s="38"/>
      <c r="TT139" s="38"/>
      <c r="TU139" s="38"/>
      <c r="TV139" s="38"/>
      <c r="TW139" s="38"/>
      <c r="TX139" s="38"/>
      <c r="TY139" s="38"/>
      <c r="TZ139" s="38"/>
      <c r="UA139" s="38"/>
      <c r="UB139" s="38"/>
      <c r="UC139" s="38"/>
      <c r="UD139" s="38"/>
      <c r="UE139" s="38"/>
      <c r="UF139" s="38"/>
      <c r="UG139" s="38"/>
      <c r="UH139" s="38"/>
      <c r="UI139" s="38"/>
      <c r="UJ139" s="38"/>
      <c r="UK139" s="38"/>
      <c r="UL139" s="38"/>
      <c r="UM139" s="38"/>
      <c r="UN139" s="38"/>
      <c r="UO139" s="38"/>
      <c r="UP139" s="38"/>
      <c r="UQ139" s="38"/>
      <c r="UR139" s="38"/>
      <c r="US139" s="38"/>
      <c r="UT139" s="38"/>
      <c r="UU139" s="38"/>
      <c r="UV139" s="38"/>
      <c r="UW139" s="38"/>
      <c r="UX139" s="38"/>
      <c r="UY139" s="38"/>
      <c r="UZ139" s="38"/>
      <c r="VA139" s="38"/>
      <c r="VB139" s="38"/>
      <c r="VC139" s="38"/>
      <c r="VD139" s="38"/>
      <c r="VE139" s="38"/>
      <c r="VF139" s="38"/>
      <c r="VG139" s="38"/>
      <c r="VH139" s="38"/>
      <c r="VI139" s="38"/>
      <c r="VJ139" s="38"/>
      <c r="VK139" s="38"/>
      <c r="VL139" s="38"/>
      <c r="VM139" s="38"/>
      <c r="VN139" s="38"/>
      <c r="VO139" s="38"/>
      <c r="VP139" s="38"/>
      <c r="VQ139" s="38"/>
      <c r="VR139" s="38"/>
      <c r="VS139" s="38"/>
      <c r="VT139" s="38"/>
      <c r="VU139" s="38"/>
      <c r="VV139" s="38"/>
      <c r="VW139" s="38"/>
      <c r="VX139" s="38"/>
      <c r="VY139" s="38"/>
      <c r="VZ139" s="38"/>
      <c r="WA139" s="38"/>
      <c r="WB139" s="38"/>
      <c r="WC139" s="38"/>
      <c r="WD139" s="38"/>
      <c r="WE139" s="38"/>
      <c r="WF139" s="38"/>
      <c r="WG139" s="38"/>
      <c r="WH139" s="38"/>
      <c r="WI139" s="38"/>
      <c r="WJ139" s="38"/>
      <c r="WK139" s="38"/>
      <c r="WL139" s="38"/>
      <c r="WM139" s="38"/>
      <c r="WN139" s="38"/>
      <c r="WO139" s="38"/>
      <c r="WP139" s="38"/>
      <c r="WQ139" s="38"/>
      <c r="WR139" s="38"/>
      <c r="WS139" s="38"/>
      <c r="WT139" s="38"/>
      <c r="WU139" s="38"/>
      <c r="WV139" s="38"/>
      <c r="WW139" s="38"/>
      <c r="WX139" s="38"/>
      <c r="WY139" s="38"/>
      <c r="WZ139" s="38"/>
      <c r="XA139" s="38"/>
      <c r="XB139" s="38"/>
      <c r="XC139" s="38"/>
      <c r="XD139" s="38"/>
      <c r="XE139" s="38"/>
      <c r="XF139" s="38"/>
      <c r="XG139" s="38"/>
      <c r="XH139" s="38"/>
      <c r="XI139" s="38"/>
      <c r="XJ139" s="38"/>
      <c r="XK139" s="38"/>
      <c r="XL139" s="38"/>
      <c r="XM139" s="38"/>
      <c r="XN139" s="38"/>
      <c r="XO139" s="38"/>
      <c r="XP139" s="38"/>
      <c r="XQ139" s="38"/>
      <c r="XR139" s="38"/>
      <c r="XS139" s="38"/>
      <c r="XT139" s="38"/>
      <c r="XU139" s="38"/>
      <c r="XV139" s="38"/>
      <c r="XW139" s="38"/>
      <c r="XX139" s="38"/>
      <c r="XY139" s="38"/>
      <c r="XZ139" s="38"/>
      <c r="YA139" s="38"/>
      <c r="YB139" s="38"/>
      <c r="YC139" s="38"/>
      <c r="YD139" s="38"/>
      <c r="YE139" s="38"/>
      <c r="YF139" s="38"/>
      <c r="YG139" s="38"/>
      <c r="YH139" s="38"/>
      <c r="YI139" s="38"/>
      <c r="YJ139" s="38"/>
      <c r="YK139" s="38"/>
      <c r="YL139" s="38"/>
      <c r="YM139" s="38"/>
      <c r="YN139" s="38"/>
      <c r="YO139" s="38"/>
      <c r="YP139" s="38"/>
      <c r="YQ139" s="38"/>
      <c r="YR139" s="38"/>
      <c r="YS139" s="38"/>
      <c r="YT139" s="38"/>
      <c r="YU139" s="38"/>
      <c r="YV139" s="38"/>
      <c r="YW139" s="38"/>
      <c r="YX139" s="38"/>
      <c r="YY139" s="38"/>
      <c r="YZ139" s="38"/>
      <c r="ZA139" s="38"/>
      <c r="ZB139" s="38"/>
      <c r="ZC139" s="38"/>
      <c r="ZD139" s="38"/>
      <c r="ZE139" s="38"/>
      <c r="ZF139" s="38"/>
      <c r="ZG139" s="38"/>
      <c r="ZH139" s="38"/>
      <c r="ZI139" s="38"/>
      <c r="ZJ139" s="38"/>
      <c r="ZK139" s="38"/>
      <c r="ZL139" s="38"/>
      <c r="ZM139" s="38"/>
      <c r="ZN139" s="38"/>
      <c r="ZO139" s="38"/>
      <c r="ZP139" s="38"/>
      <c r="ZQ139" s="38"/>
      <c r="ZR139" s="38"/>
      <c r="ZS139" s="38"/>
      <c r="ZT139" s="38"/>
      <c r="ZU139" s="38"/>
      <c r="ZV139" s="38"/>
      <c r="ZW139" s="38"/>
      <c r="ZX139" s="38"/>
      <c r="ZY139" s="38"/>
      <c r="ZZ139" s="38"/>
      <c r="AAA139" s="38"/>
      <c r="AAB139" s="38"/>
      <c r="AAC139" s="38"/>
      <c r="AAD139" s="38"/>
      <c r="AAE139" s="38"/>
      <c r="AAF139" s="38"/>
      <c r="AAG139" s="38"/>
      <c r="AAH139" s="38"/>
      <c r="AAI139" s="38"/>
      <c r="AAJ139" s="38"/>
      <c r="AAK139" s="38"/>
      <c r="AAL139" s="38"/>
      <c r="AAM139" s="38"/>
      <c r="AAN139" s="38"/>
      <c r="AAO139" s="38"/>
      <c r="AAP139" s="38"/>
      <c r="AAQ139" s="38"/>
      <c r="AAR139" s="38"/>
      <c r="AAS139" s="38"/>
      <c r="AAT139" s="38"/>
      <c r="AAU139" s="38"/>
      <c r="AAV139" s="38"/>
      <c r="AAW139" s="38"/>
      <c r="AAX139" s="38"/>
      <c r="AAY139" s="38"/>
      <c r="AAZ139" s="38"/>
      <c r="ABA139" s="38"/>
      <c r="ABB139" s="38"/>
      <c r="ABC139" s="38"/>
      <c r="ABD139" s="38"/>
      <c r="ABE139" s="38"/>
      <c r="ABF139" s="38"/>
      <c r="ABG139" s="38"/>
      <c r="ABH139" s="38"/>
      <c r="ABI139" s="38"/>
      <c r="ABJ139" s="38"/>
      <c r="ABK139" s="38"/>
      <c r="ABL139" s="38"/>
      <c r="ABM139" s="38"/>
      <c r="ABN139" s="38"/>
      <c r="ABO139" s="38"/>
      <c r="ABP139" s="38"/>
      <c r="ABQ139" s="38"/>
      <c r="ABR139" s="38"/>
      <c r="ABS139" s="38"/>
      <c r="ABT139" s="38"/>
      <c r="ABU139" s="38"/>
      <c r="ABV139" s="38"/>
      <c r="ABW139" s="38"/>
      <c r="ABX139" s="38"/>
      <c r="ABY139" s="38"/>
      <c r="ABZ139" s="38"/>
      <c r="ACA139" s="38"/>
      <c r="ACB139" s="38"/>
      <c r="ACC139" s="38"/>
      <c r="ACD139" s="38"/>
      <c r="ACE139" s="38"/>
      <c r="ACF139" s="38"/>
      <c r="ACG139" s="38"/>
      <c r="ACH139" s="38"/>
      <c r="ACI139" s="38"/>
      <c r="ACJ139" s="38"/>
      <c r="ACK139" s="38"/>
      <c r="ACL139" s="38"/>
      <c r="ACM139" s="38"/>
      <c r="ACN139" s="38"/>
      <c r="ACO139" s="38"/>
      <c r="ACP139" s="38"/>
      <c r="ACQ139" s="38"/>
      <c r="ACR139" s="38"/>
      <c r="ACS139" s="38"/>
      <c r="ACT139" s="38"/>
      <c r="ACU139" s="38"/>
      <c r="ACV139" s="38"/>
      <c r="ACW139" s="38"/>
      <c r="ACX139" s="38"/>
      <c r="ACY139" s="38"/>
      <c r="ACZ139" s="38"/>
      <c r="ADA139" s="38"/>
      <c r="ADB139" s="38"/>
      <c r="ADC139" s="38"/>
      <c r="ADD139" s="38"/>
      <c r="ADE139" s="38"/>
      <c r="ADF139" s="38"/>
      <c r="ADG139" s="38"/>
      <c r="ADH139" s="38"/>
      <c r="ADI139" s="38"/>
      <c r="ADJ139" s="38"/>
      <c r="ADK139" s="38"/>
      <c r="ADL139" s="38"/>
      <c r="ADM139" s="38"/>
      <c r="ADN139" s="38"/>
      <c r="ADO139" s="38"/>
      <c r="ADP139" s="38"/>
      <c r="ADQ139" s="38"/>
      <c r="ADR139" s="38"/>
      <c r="ADS139" s="38"/>
      <c r="ADT139" s="38"/>
      <c r="ADU139" s="38"/>
      <c r="ADV139" s="38"/>
      <c r="ADW139" s="38"/>
      <c r="ADX139" s="38"/>
      <c r="ADY139" s="38"/>
      <c r="ADZ139" s="38"/>
      <c r="AEA139" s="38"/>
      <c r="AEB139" s="38"/>
      <c r="AEC139" s="38"/>
      <c r="AED139" s="38"/>
      <c r="AEE139" s="38"/>
      <c r="AEF139" s="38"/>
      <c r="AEG139" s="38"/>
      <c r="AEH139" s="38"/>
      <c r="AEI139" s="38"/>
      <c r="AEJ139" s="38"/>
      <c r="AEK139" s="38"/>
      <c r="AEL139" s="38"/>
      <c r="AEM139" s="38"/>
      <c r="AEN139" s="38"/>
      <c r="AEO139" s="38"/>
      <c r="AEP139" s="38"/>
      <c r="AEQ139" s="38"/>
      <c r="AER139" s="38"/>
      <c r="AES139" s="38"/>
      <c r="AET139" s="38"/>
      <c r="AEU139" s="38"/>
      <c r="AEV139" s="38"/>
      <c r="AEW139" s="38"/>
      <c r="AEX139" s="38"/>
      <c r="AEY139" s="38"/>
      <c r="AEZ139" s="38"/>
      <c r="AFA139" s="38"/>
      <c r="AFB139" s="38"/>
      <c r="AFC139" s="38"/>
      <c r="AFD139" s="38"/>
      <c r="AFE139" s="38"/>
      <c r="AFF139" s="38"/>
      <c r="AFG139" s="38"/>
      <c r="AFH139" s="38"/>
      <c r="AFI139" s="38"/>
      <c r="AFJ139" s="38"/>
      <c r="AFK139" s="38"/>
      <c r="AFL139" s="38"/>
      <c r="AFM139" s="38"/>
      <c r="AFN139" s="38"/>
      <c r="AFO139" s="38"/>
      <c r="AFP139" s="38"/>
      <c r="AFQ139" s="38"/>
      <c r="AFR139" s="38"/>
      <c r="AFS139" s="38"/>
      <c r="AFT139" s="38"/>
      <c r="AFU139" s="38"/>
      <c r="AFV139" s="38"/>
      <c r="AFW139" s="38"/>
      <c r="AFX139" s="38"/>
      <c r="AFY139" s="38"/>
      <c r="AFZ139" s="38"/>
      <c r="AGA139" s="38"/>
      <c r="AGB139" s="38"/>
      <c r="AGC139" s="38"/>
      <c r="AGD139" s="38"/>
      <c r="AGE139" s="38"/>
      <c r="AGF139" s="38"/>
      <c r="AGG139" s="38"/>
      <c r="AGH139" s="38"/>
      <c r="AGI139" s="38"/>
      <c r="AGJ139" s="38"/>
      <c r="AGK139" s="38"/>
      <c r="AGL139" s="38"/>
      <c r="AGM139" s="38"/>
      <c r="AGN139" s="38"/>
      <c r="AGO139" s="38"/>
      <c r="AGP139" s="38"/>
      <c r="AGQ139" s="38"/>
      <c r="AGR139" s="38"/>
      <c r="AGS139" s="38"/>
      <c r="AGT139" s="38"/>
      <c r="AGU139" s="38"/>
      <c r="AGV139" s="38"/>
      <c r="AGW139" s="38"/>
      <c r="AGX139" s="38"/>
      <c r="AGY139" s="38"/>
      <c r="AGZ139" s="38"/>
      <c r="AHA139" s="38"/>
      <c r="AHB139" s="38"/>
      <c r="AHC139" s="38"/>
      <c r="AHD139" s="38"/>
      <c r="AHE139" s="38"/>
      <c r="AHF139" s="38"/>
      <c r="AHG139" s="38"/>
      <c r="AHH139" s="38"/>
      <c r="AHI139" s="38"/>
      <c r="AHJ139" s="38"/>
      <c r="AHK139" s="38"/>
      <c r="AHL139" s="38"/>
      <c r="AHM139" s="38"/>
      <c r="AHN139" s="38"/>
      <c r="AHO139" s="38"/>
      <c r="AHP139" s="38"/>
      <c r="AHQ139" s="38"/>
      <c r="AHR139" s="38"/>
      <c r="AHS139" s="38"/>
      <c r="AHT139" s="38"/>
      <c r="AHU139" s="38"/>
      <c r="AHV139" s="38"/>
      <c r="AHW139" s="38"/>
      <c r="AHX139" s="38"/>
      <c r="AHY139" s="38"/>
      <c r="AHZ139" s="38"/>
      <c r="AIA139" s="38"/>
      <c r="AIB139" s="38"/>
      <c r="AIC139" s="38"/>
      <c r="AID139" s="38"/>
      <c r="AIE139" s="38"/>
      <c r="AIF139" s="38"/>
      <c r="AIG139" s="38"/>
      <c r="AIH139" s="38"/>
      <c r="AII139" s="38"/>
      <c r="AIJ139" s="38"/>
      <c r="AIK139" s="38"/>
      <c r="AIL139" s="38"/>
      <c r="AIM139" s="38"/>
      <c r="AIN139" s="38"/>
      <c r="AIO139" s="38"/>
      <c r="AIP139" s="38"/>
      <c r="AIQ139" s="38"/>
      <c r="AIR139" s="38"/>
      <c r="AIS139" s="38"/>
      <c r="AIT139" s="38"/>
      <c r="AIU139" s="38"/>
      <c r="AIV139" s="38"/>
      <c r="AIW139" s="38"/>
      <c r="AIX139" s="38"/>
      <c r="AIY139" s="38"/>
      <c r="AIZ139" s="38"/>
      <c r="AJA139" s="38"/>
      <c r="AJB139" s="38"/>
      <c r="AJC139" s="38"/>
      <c r="AJD139" s="38"/>
      <c r="AJE139" s="38"/>
      <c r="AJF139" s="38"/>
      <c r="AJG139" s="38"/>
      <c r="AJH139" s="38"/>
      <c r="AJI139" s="38"/>
      <c r="AJJ139" s="38"/>
      <c r="AJK139" s="38"/>
      <c r="AJL139" s="38"/>
      <c r="AJM139" s="38"/>
      <c r="AJN139" s="38"/>
      <c r="AJO139" s="38"/>
      <c r="AJP139" s="38"/>
      <c r="AJQ139" s="38"/>
      <c r="AJR139" s="38"/>
      <c r="AJS139" s="38"/>
      <c r="AJT139" s="38"/>
      <c r="AJU139" s="38"/>
      <c r="AJV139" s="38"/>
      <c r="AJW139" s="38"/>
      <c r="AJX139" s="38"/>
      <c r="AJY139" s="38"/>
      <c r="AJZ139" s="38"/>
      <c r="AKA139" s="38"/>
      <c r="AKB139" s="38"/>
      <c r="AKC139" s="38"/>
      <c r="AKD139" s="38"/>
      <c r="AKE139" s="38"/>
      <c r="AKF139" s="38"/>
      <c r="AKG139" s="38"/>
      <c r="AKH139" s="38"/>
      <c r="AKI139" s="38"/>
      <c r="AKJ139" s="38"/>
      <c r="AKK139" s="38"/>
      <c r="AKL139" s="38"/>
      <c r="AKM139" s="38"/>
      <c r="AKN139" s="38"/>
      <c r="AKO139" s="38"/>
      <c r="AKP139" s="38"/>
      <c r="AKQ139" s="38"/>
      <c r="AKR139" s="38"/>
      <c r="AKS139" s="38"/>
      <c r="AKT139" s="38"/>
      <c r="AKU139" s="38"/>
      <c r="AKV139" s="38"/>
      <c r="AKW139" s="38"/>
      <c r="AKX139" s="38"/>
      <c r="AKY139" s="38"/>
      <c r="AKZ139" s="38"/>
      <c r="ALA139" s="38"/>
      <c r="ALB139" s="38"/>
      <c r="ALC139" s="38"/>
      <c r="ALD139" s="38"/>
      <c r="ALE139" s="38"/>
      <c r="ALF139" s="38"/>
      <c r="ALG139" s="38"/>
      <c r="ALH139" s="38"/>
      <c r="ALI139" s="38"/>
      <c r="ALJ139" s="38"/>
      <c r="ALK139" s="38"/>
      <c r="ALL139" s="38"/>
      <c r="ALM139" s="38"/>
      <c r="ALN139" s="38"/>
      <c r="ALO139" s="38"/>
      <c r="ALP139" s="38"/>
      <c r="ALQ139" s="38"/>
      <c r="ALR139" s="38"/>
      <c r="ALS139" s="38"/>
      <c r="ALT139" s="38"/>
      <c r="ALU139" s="38"/>
      <c r="ALV139" s="38"/>
      <c r="ALW139" s="38"/>
      <c r="ALX139" s="38"/>
      <c r="ALY139" s="38"/>
      <c r="ALZ139" s="38"/>
      <c r="AMA139" s="38"/>
      <c r="AMB139" s="38"/>
      <c r="AMC139" s="38"/>
      <c r="AMD139" s="38"/>
      <c r="AME139" s="38"/>
      <c r="AMF139" s="38"/>
      <c r="AMG139" s="38"/>
      <c r="AMH139" s="38"/>
      <c r="AMI139" s="38"/>
      <c r="AMJ139" s="38"/>
    </row>
    <row r="140" spans="1:1024" s="40" customFormat="1" ht="20.05" customHeight="1" thickBot="1" x14ac:dyDescent="0.35">
      <c r="A140" s="86" t="s">
        <v>185</v>
      </c>
      <c r="B140" s="87" t="s">
        <v>186</v>
      </c>
      <c r="C140" s="87"/>
      <c r="D140" s="87" t="s">
        <v>187</v>
      </c>
      <c r="E140" s="87"/>
      <c r="F140" s="87"/>
      <c r="G140" s="87"/>
      <c r="H140" s="87" t="s">
        <v>10</v>
      </c>
      <c r="I140" s="88">
        <v>1</v>
      </c>
    </row>
    <row r="141" spans="1:1024" s="38" customFormat="1" ht="20.05" customHeight="1" x14ac:dyDescent="0.3">
      <c r="A141" s="74" t="s">
        <v>188</v>
      </c>
      <c r="B141" s="70" t="s">
        <v>189</v>
      </c>
      <c r="C141" s="70" t="s">
        <v>190</v>
      </c>
      <c r="D141" s="70" t="s">
        <v>191</v>
      </c>
      <c r="E141" s="70"/>
      <c r="F141" s="70">
        <v>3</v>
      </c>
      <c r="G141" s="70" t="s">
        <v>192</v>
      </c>
      <c r="H141" s="53" t="str">
        <f t="shared" ref="H141:H162" si="5">_xlfn.CONCAT(F141," = ",G141)</f>
        <v>3 = More effective</v>
      </c>
      <c r="I141" s="71">
        <v>1</v>
      </c>
    </row>
    <row r="142" spans="1:1024" s="38" customFormat="1" ht="20.05" customHeight="1" x14ac:dyDescent="0.3">
      <c r="A142" s="77"/>
      <c r="B142" s="76"/>
      <c r="C142" s="76"/>
      <c r="D142" s="76"/>
      <c r="E142" s="76"/>
      <c r="F142" s="76">
        <v>2</v>
      </c>
      <c r="G142" s="76" t="s">
        <v>193</v>
      </c>
      <c r="H142" s="68" t="str">
        <f t="shared" si="5"/>
        <v>2 = Equally effective</v>
      </c>
      <c r="I142" s="78">
        <v>1</v>
      </c>
    </row>
    <row r="143" spans="1:1024" s="38" customFormat="1" ht="20.05" customHeight="1" x14ac:dyDescent="0.3">
      <c r="A143" s="77"/>
      <c r="B143" s="76"/>
      <c r="C143" s="76"/>
      <c r="D143" s="76"/>
      <c r="E143" s="76"/>
      <c r="F143" s="76">
        <v>1</v>
      </c>
      <c r="G143" s="76" t="s">
        <v>194</v>
      </c>
      <c r="H143" s="68" t="str">
        <f t="shared" si="5"/>
        <v>1 = Less effective</v>
      </c>
      <c r="I143" s="78">
        <v>1</v>
      </c>
    </row>
    <row r="144" spans="1:1024" s="38" customFormat="1" ht="20.05" customHeight="1" thickBot="1" x14ac:dyDescent="0.35">
      <c r="A144" s="72"/>
      <c r="B144" s="73"/>
      <c r="C144" s="73"/>
      <c r="D144" s="73"/>
      <c r="E144" s="73"/>
      <c r="F144" s="73">
        <v>0</v>
      </c>
      <c r="G144" s="73" t="s">
        <v>195</v>
      </c>
      <c r="H144" s="62" t="str">
        <f t="shared" si="5"/>
        <v>0 = Unsure</v>
      </c>
      <c r="I144" s="79">
        <v>1</v>
      </c>
    </row>
    <row r="145" spans="1:10" ht="20.05" customHeight="1" x14ac:dyDescent="0.3">
      <c r="A145" s="52" t="s">
        <v>196</v>
      </c>
      <c r="B145" s="53" t="s">
        <v>197</v>
      </c>
      <c r="C145" s="53" t="s">
        <v>198</v>
      </c>
      <c r="D145" s="53" t="s">
        <v>199</v>
      </c>
      <c r="E145" s="55"/>
      <c r="F145" s="55">
        <v>1</v>
      </c>
      <c r="G145" s="53" t="s">
        <v>200</v>
      </c>
      <c r="H145" s="53" t="str">
        <f t="shared" si="5"/>
        <v>1 = Very unlikely</v>
      </c>
      <c r="I145" s="57">
        <v>1</v>
      </c>
      <c r="J145" s="36"/>
    </row>
    <row r="146" spans="1:10" ht="20.05" customHeight="1" x14ac:dyDescent="0.3">
      <c r="A146" s="82"/>
      <c r="B146" s="67"/>
      <c r="C146" s="67"/>
      <c r="D146" s="67"/>
      <c r="E146" s="67"/>
      <c r="F146" s="67">
        <v>2</v>
      </c>
      <c r="G146" s="68" t="s">
        <v>201</v>
      </c>
      <c r="H146" s="68" t="str">
        <f t="shared" si="5"/>
        <v>2 = Somewhat unlikely</v>
      </c>
      <c r="I146" s="69">
        <v>1</v>
      </c>
      <c r="J146" s="36"/>
    </row>
    <row r="147" spans="1:10" ht="20.05" customHeight="1" x14ac:dyDescent="0.3">
      <c r="A147" s="82"/>
      <c r="B147" s="67"/>
      <c r="C147" s="67"/>
      <c r="D147" s="67"/>
      <c r="E147" s="67"/>
      <c r="F147" s="67">
        <v>3</v>
      </c>
      <c r="G147" s="68" t="s">
        <v>202</v>
      </c>
      <c r="H147" s="68" t="str">
        <f t="shared" si="5"/>
        <v>3 = Neutral</v>
      </c>
      <c r="I147" s="69">
        <v>1</v>
      </c>
      <c r="J147" s="36"/>
    </row>
    <row r="148" spans="1:10" ht="20.05" customHeight="1" x14ac:dyDescent="0.3">
      <c r="A148" s="82"/>
      <c r="B148" s="67"/>
      <c r="C148" s="67"/>
      <c r="D148" s="67"/>
      <c r="E148" s="67"/>
      <c r="F148" s="67">
        <v>4</v>
      </c>
      <c r="G148" s="68" t="s">
        <v>203</v>
      </c>
      <c r="H148" s="68" t="str">
        <f t="shared" si="5"/>
        <v>4 = Somewhat likely</v>
      </c>
      <c r="I148" s="69">
        <v>1</v>
      </c>
      <c r="J148" s="36"/>
    </row>
    <row r="149" spans="1:10" ht="20.05" customHeight="1" thickBot="1" x14ac:dyDescent="0.35">
      <c r="A149" s="83"/>
      <c r="B149" s="60"/>
      <c r="C149" s="60"/>
      <c r="D149" s="60"/>
      <c r="E149" s="60"/>
      <c r="F149" s="60">
        <v>5</v>
      </c>
      <c r="G149" s="62" t="s">
        <v>204</v>
      </c>
      <c r="H149" s="62" t="str">
        <f t="shared" si="5"/>
        <v>5 = Very likely</v>
      </c>
      <c r="I149" s="63">
        <v>1</v>
      </c>
      <c r="J149" s="36"/>
    </row>
    <row r="150" spans="1:10" ht="20.05" customHeight="1" x14ac:dyDescent="0.3">
      <c r="A150" s="52" t="s">
        <v>205</v>
      </c>
      <c r="B150" s="53" t="s">
        <v>206</v>
      </c>
      <c r="C150" s="53" t="s">
        <v>207</v>
      </c>
      <c r="D150" s="53" t="s">
        <v>208</v>
      </c>
      <c r="E150" s="55"/>
      <c r="F150" s="55">
        <v>1</v>
      </c>
      <c r="G150" s="53" t="s">
        <v>97</v>
      </c>
      <c r="H150" s="53" t="str">
        <f t="shared" si="5"/>
        <v>1 = Not important at all</v>
      </c>
      <c r="I150" s="57">
        <v>1</v>
      </c>
      <c r="J150" s="36"/>
    </row>
    <row r="151" spans="1:10" ht="20.05" customHeight="1" x14ac:dyDescent="0.3">
      <c r="A151" s="82"/>
      <c r="B151" s="67"/>
      <c r="C151" s="67"/>
      <c r="D151" s="67"/>
      <c r="E151" s="67"/>
      <c r="F151" s="67">
        <v>2</v>
      </c>
      <c r="G151" s="68" t="s">
        <v>98</v>
      </c>
      <c r="H151" s="68" t="str">
        <f t="shared" si="5"/>
        <v>2 = Slightly important</v>
      </c>
      <c r="I151" s="69">
        <v>1</v>
      </c>
      <c r="J151" s="36"/>
    </row>
    <row r="152" spans="1:10" ht="20.05" customHeight="1" x14ac:dyDescent="0.3">
      <c r="A152" s="82"/>
      <c r="B152" s="67"/>
      <c r="C152" s="67"/>
      <c r="D152" s="67"/>
      <c r="E152" s="67"/>
      <c r="F152" s="67">
        <v>3</v>
      </c>
      <c r="G152" s="68" t="s">
        <v>99</v>
      </c>
      <c r="H152" s="68" t="str">
        <f t="shared" si="5"/>
        <v>3 = Moderately important</v>
      </c>
      <c r="I152" s="69">
        <v>1</v>
      </c>
      <c r="J152" s="36"/>
    </row>
    <row r="153" spans="1:10" ht="20.05" customHeight="1" x14ac:dyDescent="0.3">
      <c r="A153" s="82"/>
      <c r="B153" s="67"/>
      <c r="C153" s="67"/>
      <c r="D153" s="67"/>
      <c r="E153" s="67"/>
      <c r="F153" s="67">
        <v>4</v>
      </c>
      <c r="G153" s="68" t="s">
        <v>100</v>
      </c>
      <c r="H153" s="68" t="str">
        <f t="shared" si="5"/>
        <v>4 = Very important</v>
      </c>
      <c r="I153" s="69">
        <v>1</v>
      </c>
      <c r="J153" s="36"/>
    </row>
    <row r="154" spans="1:10" ht="20.05" customHeight="1" thickBot="1" x14ac:dyDescent="0.35">
      <c r="A154" s="83"/>
      <c r="B154" s="60"/>
      <c r="C154" s="60"/>
      <c r="D154" s="60"/>
      <c r="E154" s="60"/>
      <c r="F154" s="60">
        <v>5</v>
      </c>
      <c r="G154" s="62" t="s">
        <v>101</v>
      </c>
      <c r="H154" s="62" t="str">
        <f t="shared" si="5"/>
        <v>5 = Extremely important</v>
      </c>
      <c r="I154" s="63">
        <v>1</v>
      </c>
      <c r="J154" s="36"/>
    </row>
    <row r="155" spans="1:10" ht="20.05" customHeight="1" x14ac:dyDescent="0.3">
      <c r="A155" s="82" t="s">
        <v>426</v>
      </c>
      <c r="B155" s="67"/>
      <c r="C155" s="67"/>
      <c r="D155" s="67"/>
      <c r="E155" s="67"/>
      <c r="F155" s="67"/>
      <c r="G155" s="68"/>
      <c r="H155" s="68"/>
      <c r="I155" s="69"/>
      <c r="J155" s="36"/>
    </row>
    <row r="156" spans="1:10" ht="20.05" customHeight="1" x14ac:dyDescent="0.3">
      <c r="A156" s="82"/>
      <c r="B156" s="67"/>
      <c r="C156" s="67"/>
      <c r="D156" s="67"/>
      <c r="E156" s="67"/>
      <c r="F156" s="67"/>
      <c r="G156" s="68"/>
      <c r="H156" s="68"/>
      <c r="I156" s="69"/>
      <c r="J156" s="36"/>
    </row>
    <row r="157" spans="1:10" ht="20.05" customHeight="1" thickBot="1" x14ac:dyDescent="0.35">
      <c r="A157" s="82"/>
      <c r="B157" s="67"/>
      <c r="C157" s="67"/>
      <c r="D157" s="67"/>
      <c r="E157" s="67"/>
      <c r="F157" s="67"/>
      <c r="G157" s="68"/>
      <c r="H157" s="68"/>
      <c r="I157" s="69"/>
      <c r="J157" s="36"/>
    </row>
    <row r="158" spans="1:10" ht="20.05" customHeight="1" x14ac:dyDescent="0.3">
      <c r="A158" s="91" t="s">
        <v>209</v>
      </c>
      <c r="B158" s="92" t="s">
        <v>210</v>
      </c>
      <c r="C158" s="92" t="s">
        <v>211</v>
      </c>
      <c r="D158" s="92" t="s">
        <v>212</v>
      </c>
      <c r="E158" s="93"/>
      <c r="F158" s="93">
        <v>5</v>
      </c>
      <c r="G158" s="92" t="s">
        <v>213</v>
      </c>
      <c r="H158" s="92" t="str">
        <f t="shared" si="5"/>
        <v>5 = Very engaged</v>
      </c>
      <c r="I158" s="94">
        <v>1</v>
      </c>
      <c r="J158" s="36"/>
    </row>
    <row r="159" spans="1:10" ht="20.05" customHeight="1" x14ac:dyDescent="0.3">
      <c r="A159" s="95"/>
      <c r="B159" s="96"/>
      <c r="C159" s="96"/>
      <c r="D159" s="96"/>
      <c r="E159" s="96"/>
      <c r="F159" s="96">
        <v>4</v>
      </c>
      <c r="G159" s="97" t="s">
        <v>214</v>
      </c>
      <c r="H159" s="97" t="str">
        <f t="shared" si="5"/>
        <v>4 = Somewhat engaged</v>
      </c>
      <c r="I159" s="98">
        <v>1</v>
      </c>
      <c r="J159" s="36"/>
    </row>
    <row r="160" spans="1:10" ht="20.05" customHeight="1" x14ac:dyDescent="0.3">
      <c r="A160" s="95"/>
      <c r="B160" s="96"/>
      <c r="C160" s="96"/>
      <c r="D160" s="96"/>
      <c r="E160" s="96"/>
      <c r="F160" s="96">
        <v>3</v>
      </c>
      <c r="G160" s="97" t="s">
        <v>202</v>
      </c>
      <c r="H160" s="97" t="str">
        <f t="shared" si="5"/>
        <v>3 = Neutral</v>
      </c>
      <c r="I160" s="98">
        <v>1</v>
      </c>
      <c r="J160" s="36"/>
    </row>
    <row r="161" spans="1:10" ht="20.05" customHeight="1" x14ac:dyDescent="0.3">
      <c r="A161" s="95"/>
      <c r="B161" s="96"/>
      <c r="C161" s="96"/>
      <c r="D161" s="96"/>
      <c r="E161" s="96"/>
      <c r="F161" s="96">
        <v>2</v>
      </c>
      <c r="G161" s="97" t="s">
        <v>215</v>
      </c>
      <c r="H161" s="97" t="str">
        <f t="shared" si="5"/>
        <v>2 = Slightly disengaged</v>
      </c>
      <c r="I161" s="98">
        <v>1</v>
      </c>
      <c r="J161" s="36"/>
    </row>
    <row r="162" spans="1:10" ht="20.05" customHeight="1" thickBot="1" x14ac:dyDescent="0.35">
      <c r="A162" s="99"/>
      <c r="B162" s="100"/>
      <c r="C162" s="100"/>
      <c r="D162" s="100"/>
      <c r="E162" s="100"/>
      <c r="F162" s="100">
        <v>1</v>
      </c>
      <c r="G162" s="101" t="s">
        <v>216</v>
      </c>
      <c r="H162" s="101" t="str">
        <f t="shared" si="5"/>
        <v>1 = Very disengaged</v>
      </c>
      <c r="I162" s="102">
        <v>1</v>
      </c>
      <c r="J162" s="36"/>
    </row>
    <row r="163" spans="1:10" s="40" customFormat="1" ht="20.05" customHeight="1" thickBot="1" x14ac:dyDescent="0.35">
      <c r="A163" s="103" t="s">
        <v>217</v>
      </c>
      <c r="B163" s="104" t="s">
        <v>218</v>
      </c>
      <c r="C163" s="104" t="s">
        <v>219</v>
      </c>
      <c r="D163" s="105" t="s">
        <v>219</v>
      </c>
      <c r="E163" s="104" t="s">
        <v>50</v>
      </c>
      <c r="F163" s="104"/>
      <c r="G163" s="104"/>
      <c r="H163" s="104"/>
      <c r="I163" s="106">
        <v>1</v>
      </c>
    </row>
    <row r="164" spans="1:10" s="40" customFormat="1" ht="20.05" customHeight="1" thickBot="1" x14ac:dyDescent="0.35">
      <c r="A164" s="103" t="s">
        <v>220</v>
      </c>
      <c r="B164" s="104" t="s">
        <v>221</v>
      </c>
      <c r="C164" s="104" t="s">
        <v>222</v>
      </c>
      <c r="D164" s="105" t="s">
        <v>222</v>
      </c>
      <c r="E164" s="107" t="s">
        <v>50</v>
      </c>
      <c r="F164" s="104"/>
      <c r="G164" s="104"/>
      <c r="H164" s="104"/>
      <c r="I164" s="106">
        <v>1</v>
      </c>
    </row>
    <row r="165" spans="1:10" ht="20.05" customHeight="1" thickBot="1" x14ac:dyDescent="0.35">
      <c r="A165" s="108" t="s">
        <v>223</v>
      </c>
      <c r="B165" s="107" t="s">
        <v>223</v>
      </c>
      <c r="C165" s="107" t="s">
        <v>224</v>
      </c>
      <c r="D165" s="107" t="s">
        <v>225</v>
      </c>
      <c r="E165" s="107" t="s">
        <v>50</v>
      </c>
      <c r="F165" s="109"/>
      <c r="G165" s="109"/>
      <c r="H165" s="109"/>
      <c r="I165" s="110">
        <v>1</v>
      </c>
      <c r="J165" s="36"/>
    </row>
    <row r="166" spans="1:10" ht="20.05" customHeight="1" thickBot="1" x14ac:dyDescent="0.35">
      <c r="A166" s="108" t="s">
        <v>226</v>
      </c>
      <c r="B166" s="107" t="s">
        <v>226</v>
      </c>
      <c r="C166" s="107" t="s">
        <v>227</v>
      </c>
      <c r="D166" s="107" t="s">
        <v>228</v>
      </c>
      <c r="E166" s="107" t="s">
        <v>50</v>
      </c>
      <c r="F166" s="109"/>
      <c r="G166" s="109"/>
      <c r="H166" s="109"/>
      <c r="I166" s="110">
        <v>1</v>
      </c>
      <c r="J166" s="36"/>
    </row>
    <row r="167" spans="1:10" ht="20.05" customHeight="1" thickBot="1" x14ac:dyDescent="0.35">
      <c r="A167" s="111" t="s">
        <v>300</v>
      </c>
      <c r="B167" s="105" t="s">
        <v>436</v>
      </c>
      <c r="C167" s="105"/>
      <c r="D167" s="105" t="s">
        <v>433</v>
      </c>
      <c r="E167" s="105"/>
      <c r="F167" s="105"/>
      <c r="G167" s="105"/>
      <c r="H167" s="105" t="s">
        <v>10</v>
      </c>
      <c r="I167" s="112">
        <v>1</v>
      </c>
      <c r="J167" s="36"/>
    </row>
    <row r="168" spans="1:10" ht="20.05" customHeight="1" thickBot="1" x14ac:dyDescent="0.35">
      <c r="A168" s="111" t="s">
        <v>302</v>
      </c>
      <c r="B168" s="105" t="s">
        <v>426</v>
      </c>
      <c r="C168" s="105"/>
      <c r="D168" s="105" t="s">
        <v>432</v>
      </c>
      <c r="E168" s="105"/>
      <c r="F168" s="105"/>
      <c r="G168" s="105"/>
      <c r="H168" s="105" t="s">
        <v>10</v>
      </c>
      <c r="I168" s="112">
        <v>1</v>
      </c>
      <c r="J168" s="36"/>
    </row>
    <row r="169" spans="1:10" ht="20.05" customHeight="1" thickBot="1" x14ac:dyDescent="0.35">
      <c r="A169" s="111" t="s">
        <v>304</v>
      </c>
      <c r="B169" s="105" t="s">
        <v>437</v>
      </c>
      <c r="C169" s="105"/>
      <c r="D169" s="105" t="s">
        <v>434</v>
      </c>
      <c r="E169" s="105"/>
      <c r="F169" s="105"/>
      <c r="G169" s="105"/>
      <c r="H169" s="105" t="s">
        <v>10</v>
      </c>
      <c r="I169" s="112">
        <v>1</v>
      </c>
      <c r="J169" s="36"/>
    </row>
    <row r="170" spans="1:10" ht="20.05" customHeight="1" thickBot="1" x14ac:dyDescent="0.35">
      <c r="A170" s="111" t="s">
        <v>306</v>
      </c>
      <c r="B170" s="105" t="s">
        <v>438</v>
      </c>
      <c r="C170" s="105"/>
      <c r="D170" s="105" t="s">
        <v>435</v>
      </c>
      <c r="E170" s="105"/>
      <c r="F170" s="105"/>
      <c r="G170" s="105"/>
      <c r="H170" s="105" t="s">
        <v>10</v>
      </c>
      <c r="I170" s="112">
        <v>1</v>
      </c>
      <c r="J170" s="36"/>
    </row>
    <row r="171" spans="1:10" ht="20.05" customHeight="1" x14ac:dyDescent="0.3">
      <c r="B171" s="76"/>
      <c r="C171" s="76"/>
      <c r="D171" s="76"/>
      <c r="E171" s="76"/>
      <c r="F171" s="76"/>
      <c r="G171" s="76"/>
      <c r="H171" s="76"/>
      <c r="I171" s="76"/>
      <c r="J171" s="36"/>
    </row>
    <row r="172" spans="1:10" ht="20.05" customHeight="1" x14ac:dyDescent="0.3">
      <c r="B172" s="76"/>
      <c r="C172" s="76"/>
      <c r="D172" s="76"/>
      <c r="E172" s="76"/>
      <c r="F172" s="76"/>
      <c r="G172" s="76"/>
      <c r="H172" s="76"/>
      <c r="I172" s="76"/>
      <c r="J172" s="36"/>
    </row>
    <row r="173" spans="1:10" ht="20.05" customHeight="1" x14ac:dyDescent="0.3">
      <c r="B173" s="76"/>
      <c r="C173" s="76"/>
      <c r="D173" s="76"/>
      <c r="E173" s="76"/>
      <c r="F173" s="76"/>
      <c r="G173" s="76"/>
      <c r="H173" s="76"/>
      <c r="I173" s="76"/>
      <c r="J173" s="36"/>
    </row>
    <row r="174" spans="1:10" ht="20.05" customHeight="1" x14ac:dyDescent="0.3">
      <c r="B174" s="76"/>
      <c r="C174" s="76"/>
      <c r="D174" s="76"/>
      <c r="E174" s="76"/>
      <c r="F174" s="76"/>
      <c r="G174" s="76"/>
      <c r="H174" s="76"/>
      <c r="I174" s="76"/>
      <c r="J174" s="36"/>
    </row>
    <row r="175" spans="1:10" ht="20.05" customHeight="1" x14ac:dyDescent="0.3">
      <c r="B175" s="76"/>
      <c r="C175" s="76"/>
      <c r="D175" s="76"/>
      <c r="E175" s="76"/>
      <c r="F175" s="76"/>
      <c r="G175" s="76"/>
      <c r="H175" s="76"/>
      <c r="I175" s="76"/>
      <c r="J175" s="36"/>
    </row>
    <row r="176" spans="1:10" ht="20.05" customHeight="1" x14ac:dyDescent="0.3">
      <c r="B176" s="76"/>
      <c r="C176" s="76"/>
      <c r="D176" s="76"/>
      <c r="E176" s="76"/>
      <c r="F176" s="76"/>
      <c r="G176" s="76"/>
      <c r="H176" s="76"/>
      <c r="I176" s="76"/>
      <c r="J176" s="36"/>
    </row>
    <row r="177" spans="2:10" ht="20.05" customHeight="1" x14ac:dyDescent="0.3">
      <c r="B177" s="76"/>
      <c r="C177" s="76"/>
      <c r="D177" s="76"/>
      <c r="E177" s="76"/>
      <c r="F177" s="76"/>
      <c r="G177" s="76"/>
      <c r="H177" s="76"/>
      <c r="I177" s="76"/>
      <c r="J177" s="36"/>
    </row>
    <row r="178" spans="2:10" ht="20.05" customHeight="1" x14ac:dyDescent="0.3">
      <c r="B178" s="76"/>
      <c r="C178" s="76"/>
      <c r="D178" s="76"/>
      <c r="E178" s="76"/>
      <c r="F178" s="76"/>
      <c r="G178" s="76"/>
      <c r="H178" s="76"/>
      <c r="I178" s="76"/>
      <c r="J178" s="36"/>
    </row>
    <row r="179" spans="2:10" ht="20.05" customHeight="1" x14ac:dyDescent="0.3">
      <c r="B179" s="76"/>
      <c r="C179" s="76"/>
      <c r="D179" s="76"/>
      <c r="E179" s="76"/>
      <c r="F179" s="76"/>
      <c r="G179" s="76"/>
      <c r="H179" s="76"/>
      <c r="I179" s="76"/>
      <c r="J179" s="36"/>
    </row>
    <row r="180" spans="2:10" ht="20.05" customHeight="1" x14ac:dyDescent="0.3">
      <c r="B180" s="76"/>
      <c r="C180" s="76"/>
      <c r="D180" s="76"/>
      <c r="E180" s="76"/>
      <c r="F180" s="76"/>
      <c r="G180" s="76"/>
      <c r="H180" s="76"/>
      <c r="I180" s="76"/>
      <c r="J180" s="36"/>
    </row>
    <row r="181" spans="2:10" ht="20.05" customHeight="1" x14ac:dyDescent="0.3">
      <c r="B181" s="76"/>
      <c r="C181" s="76"/>
      <c r="D181" s="76"/>
      <c r="E181" s="76"/>
      <c r="F181" s="76"/>
      <c r="G181" s="76"/>
      <c r="H181" s="76"/>
      <c r="I181" s="76"/>
      <c r="J181" s="36"/>
    </row>
    <row r="182" spans="2:10" ht="20.05" customHeight="1" x14ac:dyDescent="0.3">
      <c r="B182" s="76"/>
      <c r="C182" s="76"/>
      <c r="D182" s="76"/>
      <c r="E182" s="76"/>
      <c r="F182" s="76"/>
      <c r="G182" s="76"/>
      <c r="H182" s="76"/>
      <c r="I182" s="76"/>
      <c r="J182" s="36"/>
    </row>
    <row r="183" spans="2:10" ht="20.05" customHeight="1" x14ac:dyDescent="0.3">
      <c r="B183" s="76"/>
      <c r="C183" s="76"/>
      <c r="D183" s="76"/>
      <c r="E183" s="76"/>
      <c r="F183" s="76"/>
      <c r="G183" s="76"/>
      <c r="H183" s="76"/>
      <c r="I183" s="76"/>
      <c r="J183" s="36"/>
    </row>
    <row r="184" spans="2:10" ht="20.05" customHeight="1" x14ac:dyDescent="0.3">
      <c r="B184" s="76"/>
      <c r="C184" s="76"/>
      <c r="D184" s="76"/>
      <c r="E184" s="76"/>
      <c r="F184" s="76"/>
      <c r="G184" s="76"/>
      <c r="H184" s="76"/>
      <c r="I184" s="76"/>
      <c r="J184" s="36"/>
    </row>
    <row r="185" spans="2:10" ht="20.05" customHeight="1" x14ac:dyDescent="0.3">
      <c r="B185" s="76"/>
      <c r="C185" s="76"/>
      <c r="D185" s="76"/>
      <c r="E185" s="76"/>
      <c r="F185" s="76"/>
      <c r="G185" s="76"/>
      <c r="H185" s="76"/>
      <c r="I185" s="76"/>
      <c r="J185" s="36"/>
    </row>
    <row r="186" spans="2:10" ht="20.05" customHeight="1" x14ac:dyDescent="0.3">
      <c r="B186" s="76"/>
      <c r="C186" s="76"/>
      <c r="D186" s="76"/>
      <c r="E186" s="76"/>
      <c r="F186" s="76"/>
      <c r="G186" s="76"/>
      <c r="H186" s="76"/>
      <c r="I186" s="76"/>
      <c r="J186" s="36"/>
    </row>
    <row r="187" spans="2:10" ht="20.05" customHeight="1" x14ac:dyDescent="0.3">
      <c r="B187" s="76"/>
      <c r="C187" s="76"/>
      <c r="D187" s="76"/>
      <c r="E187" s="76"/>
      <c r="F187" s="76"/>
      <c r="G187" s="76"/>
      <c r="H187" s="76"/>
      <c r="I187" s="76"/>
      <c r="J187" s="36"/>
    </row>
    <row r="188" spans="2:10" ht="20.05" customHeight="1" x14ac:dyDescent="0.3">
      <c r="B188" s="76"/>
      <c r="C188" s="76"/>
      <c r="D188" s="76"/>
      <c r="E188" s="76"/>
      <c r="F188" s="76"/>
      <c r="G188" s="76"/>
      <c r="H188" s="76"/>
      <c r="I188" s="76"/>
      <c r="J188" s="36"/>
    </row>
    <row r="189" spans="2:10" ht="20.05" customHeight="1" x14ac:dyDescent="0.3">
      <c r="B189" s="76"/>
      <c r="C189" s="76"/>
      <c r="D189" s="76"/>
      <c r="E189" s="76"/>
      <c r="F189" s="76"/>
      <c r="G189" s="76"/>
      <c r="H189" s="76"/>
      <c r="I189" s="76"/>
      <c r="J189" s="36"/>
    </row>
    <row r="190" spans="2:10" ht="20.05" customHeight="1" x14ac:dyDescent="0.3">
      <c r="B190" s="76"/>
      <c r="C190" s="76"/>
      <c r="D190" s="76"/>
      <c r="E190" s="76"/>
      <c r="F190" s="76"/>
      <c r="G190" s="76"/>
      <c r="H190" s="76"/>
      <c r="I190" s="76"/>
      <c r="J190" s="36"/>
    </row>
    <row r="191" spans="2:10" ht="20.05" customHeight="1" x14ac:dyDescent="0.3">
      <c r="B191" s="76"/>
      <c r="C191" s="76"/>
      <c r="D191" s="76"/>
      <c r="E191" s="76"/>
      <c r="F191" s="76"/>
      <c r="G191" s="76"/>
      <c r="H191" s="76"/>
      <c r="I191" s="76"/>
      <c r="J191" s="36"/>
    </row>
    <row r="192" spans="2:10" ht="20.05" customHeight="1" x14ac:dyDescent="0.3">
      <c r="B192" s="76"/>
      <c r="C192" s="76"/>
      <c r="D192" s="76"/>
      <c r="E192" s="76"/>
      <c r="F192" s="76"/>
      <c r="G192" s="76"/>
      <c r="H192" s="76"/>
      <c r="I192" s="76"/>
      <c r="J192" s="36"/>
    </row>
    <row r="193" spans="2:10" ht="20.05" customHeight="1" x14ac:dyDescent="0.3">
      <c r="B193" s="76"/>
      <c r="C193" s="76"/>
      <c r="D193" s="76"/>
      <c r="E193" s="76"/>
      <c r="F193" s="76"/>
      <c r="G193" s="76"/>
      <c r="H193" s="76"/>
      <c r="I193" s="76"/>
      <c r="J193" s="36"/>
    </row>
    <row r="194" spans="2:10" ht="20.05" customHeight="1" x14ac:dyDescent="0.3">
      <c r="B194" s="76"/>
      <c r="C194" s="76"/>
      <c r="D194" s="76"/>
      <c r="E194" s="76"/>
      <c r="F194" s="76"/>
      <c r="G194" s="76"/>
      <c r="H194" s="76"/>
      <c r="I194" s="76"/>
      <c r="J194" s="36"/>
    </row>
    <row r="195" spans="2:10" ht="20.05" customHeight="1" x14ac:dyDescent="0.3">
      <c r="B195" s="76"/>
      <c r="C195" s="76"/>
      <c r="D195" s="76"/>
      <c r="E195" s="76"/>
      <c r="F195" s="76"/>
      <c r="G195" s="76"/>
      <c r="H195" s="76"/>
      <c r="I195" s="76"/>
      <c r="J195" s="36"/>
    </row>
    <row r="196" spans="2:10" ht="20.05" customHeight="1" x14ac:dyDescent="0.3">
      <c r="B196" s="76"/>
      <c r="C196" s="76"/>
      <c r="D196" s="76"/>
      <c r="E196" s="76"/>
      <c r="F196" s="76"/>
      <c r="G196" s="76"/>
      <c r="H196" s="76"/>
      <c r="I196" s="76"/>
      <c r="J196" s="36"/>
    </row>
    <row r="197" spans="2:10" ht="20.05" customHeight="1" x14ac:dyDescent="0.3">
      <c r="B197" s="76"/>
      <c r="C197" s="76"/>
      <c r="D197" s="76"/>
      <c r="E197" s="76"/>
      <c r="F197" s="76"/>
      <c r="G197" s="76"/>
      <c r="H197" s="76"/>
      <c r="I197" s="76"/>
      <c r="J197" s="36"/>
    </row>
    <row r="198" spans="2:10" ht="20.05" customHeight="1" x14ac:dyDescent="0.3">
      <c r="B198" s="76"/>
      <c r="C198" s="76"/>
      <c r="D198" s="76"/>
      <c r="E198" s="76"/>
      <c r="F198" s="76"/>
      <c r="G198" s="76"/>
      <c r="H198" s="76"/>
      <c r="I198" s="76"/>
      <c r="J198" s="36"/>
    </row>
    <row r="199" spans="2:10" ht="20.05" customHeight="1" x14ac:dyDescent="0.3">
      <c r="B199" s="76"/>
      <c r="C199" s="76"/>
      <c r="D199" s="76"/>
      <c r="E199" s="76"/>
      <c r="F199" s="76"/>
      <c r="G199" s="76"/>
      <c r="H199" s="76"/>
      <c r="I199" s="76"/>
      <c r="J199" s="36"/>
    </row>
    <row r="200" spans="2:10" ht="20.05" customHeight="1" x14ac:dyDescent="0.3">
      <c r="B200" s="76"/>
      <c r="C200" s="76"/>
      <c r="D200" s="76"/>
      <c r="E200" s="76"/>
      <c r="F200" s="76"/>
      <c r="G200" s="76"/>
      <c r="H200" s="76"/>
      <c r="I200" s="76"/>
    </row>
    <row r="201" spans="2:10" ht="20.05" customHeight="1" x14ac:dyDescent="0.3">
      <c r="B201" s="76"/>
      <c r="C201" s="76"/>
      <c r="D201" s="76"/>
      <c r="E201" s="76"/>
      <c r="F201" s="76"/>
      <c r="G201" s="76"/>
      <c r="H201" s="76"/>
      <c r="I201" s="76"/>
    </row>
    <row r="202" spans="2:10" ht="20.05" customHeight="1" x14ac:dyDescent="0.3">
      <c r="B202" s="76"/>
      <c r="C202" s="76"/>
      <c r="D202" s="76"/>
      <c r="E202" s="76"/>
      <c r="F202" s="76"/>
      <c r="G202" s="76"/>
      <c r="H202" s="76"/>
      <c r="I202" s="76"/>
    </row>
    <row r="203" spans="2:10" ht="20.05" customHeight="1" x14ac:dyDescent="0.3">
      <c r="B203" s="76"/>
      <c r="C203" s="76"/>
      <c r="D203" s="76"/>
      <c r="E203" s="76"/>
      <c r="F203" s="76"/>
      <c r="G203" s="76"/>
      <c r="H203" s="76"/>
      <c r="I203" s="76"/>
    </row>
    <row r="204" spans="2:10" ht="20.05" customHeight="1" x14ac:dyDescent="0.3">
      <c r="B204" s="76"/>
      <c r="C204" s="76"/>
      <c r="D204" s="76"/>
      <c r="E204" s="76"/>
      <c r="F204" s="76"/>
      <c r="G204" s="76"/>
      <c r="H204" s="76"/>
      <c r="I204" s="76"/>
    </row>
    <row r="205" spans="2:10" ht="20.05" customHeight="1" x14ac:dyDescent="0.3">
      <c r="B205" s="76"/>
      <c r="C205" s="76"/>
      <c r="D205" s="76"/>
      <c r="E205" s="76"/>
      <c r="F205" s="76"/>
      <c r="G205" s="76"/>
      <c r="H205" s="76"/>
      <c r="I205" s="76"/>
    </row>
    <row r="206" spans="2:10" ht="15" customHeight="1" x14ac:dyDescent="0.3">
      <c r="B206" s="76"/>
      <c r="C206" s="76"/>
      <c r="D206" s="76"/>
      <c r="E206" s="76"/>
      <c r="F206" s="76"/>
      <c r="G206" s="76"/>
      <c r="H206" s="76"/>
      <c r="I206" s="76"/>
    </row>
    <row r="207" spans="2:10" ht="15" customHeight="1" x14ac:dyDescent="0.3">
      <c r="B207" s="76"/>
      <c r="C207" s="76"/>
      <c r="D207" s="76"/>
      <c r="E207" s="76"/>
      <c r="F207" s="76"/>
      <c r="G207" s="76"/>
      <c r="H207" s="76"/>
      <c r="I207" s="76"/>
    </row>
    <row r="208" spans="2:10" ht="15" customHeight="1" x14ac:dyDescent="0.3">
      <c r="B208" s="76"/>
      <c r="C208" s="76"/>
      <c r="D208" s="76"/>
      <c r="E208" s="76"/>
      <c r="F208" s="76"/>
      <c r="G208" s="76"/>
      <c r="H208" s="76"/>
      <c r="I208" s="76"/>
    </row>
    <row r="209" spans="2:9" ht="15" customHeight="1" x14ac:dyDescent="0.3">
      <c r="B209" s="76"/>
      <c r="C209" s="76"/>
      <c r="D209" s="76"/>
      <c r="E209" s="76"/>
      <c r="F209" s="76"/>
      <c r="G209" s="76"/>
      <c r="H209" s="76"/>
      <c r="I209" s="76"/>
    </row>
    <row r="210" spans="2:9" ht="15" customHeight="1" x14ac:dyDescent="0.3">
      <c r="B210" s="76"/>
      <c r="C210" s="76"/>
      <c r="D210" s="76"/>
      <c r="E210" s="76"/>
      <c r="F210" s="76"/>
      <c r="G210" s="76"/>
      <c r="H210" s="76"/>
      <c r="I210" s="76"/>
    </row>
    <row r="211" spans="2:9" ht="15" customHeight="1" x14ac:dyDescent="0.3">
      <c r="B211" s="76"/>
      <c r="C211" s="76"/>
      <c r="D211" s="76"/>
      <c r="E211" s="76"/>
      <c r="F211" s="76"/>
      <c r="G211" s="76"/>
      <c r="H211" s="76"/>
      <c r="I211" s="76"/>
    </row>
    <row r="212" spans="2:9" ht="15" customHeight="1" x14ac:dyDescent="0.3">
      <c r="B212" s="76"/>
      <c r="C212" s="76"/>
      <c r="D212" s="76"/>
      <c r="E212" s="76"/>
      <c r="F212" s="76"/>
      <c r="G212" s="76"/>
      <c r="H212" s="76"/>
      <c r="I212" s="76"/>
    </row>
    <row r="213" spans="2:9" ht="15" customHeight="1" x14ac:dyDescent="0.3">
      <c r="B213" s="76"/>
      <c r="C213" s="76"/>
      <c r="D213" s="76"/>
      <c r="E213" s="76"/>
      <c r="F213" s="76"/>
      <c r="G213" s="76"/>
      <c r="H213" s="76"/>
      <c r="I213" s="76"/>
    </row>
    <row r="214" spans="2:9" ht="15" customHeight="1" x14ac:dyDescent="0.3">
      <c r="B214" s="76"/>
      <c r="C214" s="76"/>
      <c r="D214" s="76"/>
      <c r="E214" s="76"/>
      <c r="F214" s="76"/>
      <c r="G214" s="76"/>
      <c r="H214" s="76"/>
      <c r="I214" s="76"/>
    </row>
    <row r="215" spans="2:9" ht="15" customHeight="1" x14ac:dyDescent="0.3">
      <c r="B215" s="76"/>
      <c r="C215" s="76"/>
      <c r="D215" s="76"/>
      <c r="E215" s="76"/>
      <c r="F215" s="76"/>
      <c r="G215" s="76"/>
      <c r="H215" s="76"/>
      <c r="I215" s="76"/>
    </row>
    <row r="216" spans="2:9" ht="15" customHeight="1" x14ac:dyDescent="0.3">
      <c r="B216" s="76"/>
      <c r="C216" s="76"/>
      <c r="D216" s="76"/>
      <c r="E216" s="76"/>
      <c r="F216" s="76"/>
      <c r="G216" s="76"/>
      <c r="H216" s="76"/>
      <c r="I216" s="76"/>
    </row>
    <row r="217" spans="2:9" ht="15" customHeight="1" x14ac:dyDescent="0.3">
      <c r="B217" s="76"/>
      <c r="C217" s="76"/>
      <c r="D217" s="76"/>
      <c r="E217" s="76"/>
      <c r="F217" s="76"/>
      <c r="G217" s="76"/>
      <c r="H217" s="76"/>
      <c r="I217" s="76"/>
    </row>
    <row r="218" spans="2:9" ht="15" customHeight="1" x14ac:dyDescent="0.3">
      <c r="B218" s="76"/>
      <c r="C218" s="76"/>
      <c r="D218" s="76"/>
      <c r="E218" s="76"/>
      <c r="F218" s="76"/>
      <c r="G218" s="76"/>
      <c r="H218" s="76"/>
      <c r="I218" s="76"/>
    </row>
    <row r="219" spans="2:9" ht="15" customHeight="1" x14ac:dyDescent="0.3">
      <c r="B219" s="76"/>
      <c r="C219" s="76"/>
      <c r="D219" s="76"/>
      <c r="E219" s="76"/>
      <c r="F219" s="76"/>
      <c r="G219" s="76"/>
      <c r="H219" s="76"/>
      <c r="I219" s="76"/>
    </row>
    <row r="220" spans="2:9" ht="15" customHeight="1" x14ac:dyDescent="0.3">
      <c r="B220" s="76"/>
      <c r="C220" s="76"/>
      <c r="D220" s="76"/>
      <c r="E220" s="76"/>
      <c r="F220" s="76"/>
      <c r="G220" s="76"/>
      <c r="H220" s="76"/>
      <c r="I220" s="76"/>
    </row>
    <row r="221" spans="2:9" ht="15" customHeight="1" x14ac:dyDescent="0.3">
      <c r="B221" s="76"/>
      <c r="C221" s="76"/>
      <c r="D221" s="76"/>
      <c r="E221" s="76"/>
      <c r="F221" s="76"/>
      <c r="G221" s="76"/>
      <c r="H221" s="76"/>
      <c r="I221" s="76"/>
    </row>
    <row r="222" spans="2:9" ht="15" customHeight="1" x14ac:dyDescent="0.3">
      <c r="B222" s="76"/>
      <c r="C222" s="76"/>
      <c r="D222" s="76"/>
      <c r="E222" s="76"/>
      <c r="F222" s="76"/>
      <c r="G222" s="76"/>
      <c r="H222" s="76"/>
      <c r="I222" s="76"/>
    </row>
    <row r="223" spans="2:9" ht="15" customHeight="1" x14ac:dyDescent="0.3">
      <c r="B223" s="76"/>
      <c r="C223" s="76"/>
      <c r="D223" s="76"/>
      <c r="E223" s="76"/>
      <c r="F223" s="76"/>
      <c r="G223" s="76"/>
      <c r="H223" s="76"/>
      <c r="I223" s="76"/>
    </row>
    <row r="224" spans="2:9" ht="15" customHeight="1" x14ac:dyDescent="0.3">
      <c r="B224" s="76"/>
      <c r="C224" s="76"/>
      <c r="D224" s="76"/>
      <c r="E224" s="76"/>
      <c r="F224" s="76"/>
      <c r="G224" s="76"/>
      <c r="H224" s="76"/>
      <c r="I224" s="76"/>
    </row>
    <row r="225" spans="2:9" ht="15" customHeight="1" x14ac:dyDescent="0.3">
      <c r="B225" s="76"/>
      <c r="C225" s="76"/>
      <c r="D225" s="76"/>
      <c r="E225" s="76"/>
      <c r="F225" s="76"/>
      <c r="G225" s="76"/>
      <c r="H225" s="76"/>
      <c r="I225" s="76"/>
    </row>
    <row r="226" spans="2:9" ht="15" customHeight="1" x14ac:dyDescent="0.3">
      <c r="B226" s="76"/>
      <c r="C226" s="76"/>
      <c r="D226" s="76"/>
      <c r="E226" s="76"/>
      <c r="F226" s="76"/>
      <c r="G226" s="76"/>
      <c r="H226" s="76"/>
      <c r="I226" s="76"/>
    </row>
    <row r="227" spans="2:9" ht="15" customHeight="1" x14ac:dyDescent="0.3">
      <c r="B227" s="76"/>
      <c r="C227" s="76"/>
      <c r="D227" s="76"/>
      <c r="E227" s="76"/>
      <c r="F227" s="76"/>
      <c r="G227" s="76"/>
      <c r="H227" s="76"/>
      <c r="I227" s="76"/>
    </row>
    <row r="228" spans="2:9" ht="15" customHeight="1" x14ac:dyDescent="0.3">
      <c r="B228" s="76"/>
      <c r="C228" s="76"/>
      <c r="D228" s="76"/>
      <c r="E228" s="76"/>
      <c r="F228" s="76"/>
      <c r="G228" s="76"/>
      <c r="H228" s="76"/>
      <c r="I228" s="76"/>
    </row>
    <row r="229" spans="2:9" ht="15" customHeight="1" x14ac:dyDescent="0.3">
      <c r="B229" s="76"/>
      <c r="C229" s="76"/>
      <c r="D229" s="76"/>
      <c r="E229" s="76"/>
      <c r="F229" s="76"/>
      <c r="G229" s="76"/>
      <c r="H229" s="76"/>
      <c r="I229" s="76"/>
    </row>
    <row r="230" spans="2:9" ht="15" customHeight="1" x14ac:dyDescent="0.3">
      <c r="B230" s="76"/>
      <c r="C230" s="76"/>
      <c r="D230" s="76"/>
      <c r="E230" s="76"/>
      <c r="F230" s="76"/>
      <c r="G230" s="76"/>
      <c r="H230" s="76"/>
      <c r="I230" s="76"/>
    </row>
    <row r="231" spans="2:9" ht="15" customHeight="1" x14ac:dyDescent="0.3">
      <c r="B231" s="76"/>
      <c r="C231" s="76"/>
      <c r="D231" s="76"/>
      <c r="E231" s="76"/>
      <c r="F231" s="76"/>
      <c r="G231" s="76"/>
      <c r="H231" s="76"/>
      <c r="I231" s="76"/>
    </row>
    <row r="232" spans="2:9" ht="15" customHeight="1" x14ac:dyDescent="0.3">
      <c r="B232" s="76"/>
      <c r="C232" s="76"/>
      <c r="D232" s="76"/>
      <c r="E232" s="76"/>
      <c r="F232" s="76"/>
      <c r="G232" s="76"/>
      <c r="H232" s="76"/>
      <c r="I232" s="76"/>
    </row>
    <row r="233" spans="2:9" ht="15" customHeight="1" x14ac:dyDescent="0.3">
      <c r="B233" s="76"/>
      <c r="C233" s="76"/>
      <c r="D233" s="76"/>
      <c r="E233" s="76"/>
      <c r="F233" s="76"/>
      <c r="G233" s="76"/>
      <c r="H233" s="76"/>
      <c r="I233" s="76"/>
    </row>
    <row r="234" spans="2:9" ht="15" customHeight="1" x14ac:dyDescent="0.3">
      <c r="B234" s="76"/>
      <c r="C234" s="76"/>
      <c r="D234" s="76"/>
      <c r="E234" s="76"/>
      <c r="F234" s="76"/>
      <c r="G234" s="76"/>
      <c r="H234" s="76"/>
      <c r="I234" s="76"/>
    </row>
    <row r="235" spans="2:9" ht="15" customHeight="1" x14ac:dyDescent="0.3">
      <c r="B235" s="76"/>
      <c r="C235" s="76"/>
      <c r="D235" s="76"/>
      <c r="E235" s="76"/>
      <c r="F235" s="76"/>
      <c r="G235" s="76"/>
      <c r="H235" s="76"/>
      <c r="I235" s="76"/>
    </row>
    <row r="236" spans="2:9" ht="15" customHeight="1" x14ac:dyDescent="0.3">
      <c r="B236" s="76"/>
      <c r="C236" s="76"/>
      <c r="D236" s="76"/>
      <c r="E236" s="76"/>
      <c r="F236" s="76"/>
      <c r="G236" s="76"/>
      <c r="H236" s="76"/>
      <c r="I236" s="76"/>
    </row>
    <row r="237" spans="2:9" ht="15" customHeight="1" x14ac:dyDescent="0.3">
      <c r="B237" s="76"/>
      <c r="C237" s="76"/>
      <c r="D237" s="76"/>
      <c r="E237" s="76"/>
      <c r="F237" s="76"/>
      <c r="G237" s="76"/>
      <c r="H237" s="76"/>
      <c r="I237" s="76"/>
    </row>
    <row r="238" spans="2:9" ht="15" customHeight="1" x14ac:dyDescent="0.3">
      <c r="B238" s="76"/>
      <c r="C238" s="76"/>
      <c r="D238" s="76"/>
      <c r="E238" s="76"/>
      <c r="F238" s="76"/>
      <c r="G238" s="76"/>
      <c r="H238" s="76"/>
      <c r="I238" s="76"/>
    </row>
    <row r="239" spans="2:9" ht="15" customHeight="1" x14ac:dyDescent="0.3">
      <c r="B239" s="76"/>
      <c r="C239" s="76"/>
      <c r="D239" s="76"/>
      <c r="E239" s="76"/>
      <c r="F239" s="76"/>
      <c r="G239" s="76"/>
      <c r="H239" s="76"/>
      <c r="I239" s="76"/>
    </row>
    <row r="240" spans="2:9" ht="15" customHeight="1" x14ac:dyDescent="0.3">
      <c r="B240" s="76"/>
      <c r="C240" s="76"/>
      <c r="D240" s="76"/>
      <c r="E240" s="76"/>
      <c r="F240" s="76"/>
      <c r="G240" s="76"/>
      <c r="H240" s="76"/>
      <c r="I240" s="76"/>
    </row>
    <row r="241" spans="2:9" ht="15" customHeight="1" x14ac:dyDescent="0.3">
      <c r="B241" s="76"/>
      <c r="C241" s="76"/>
      <c r="D241" s="76"/>
      <c r="E241" s="76"/>
      <c r="F241" s="76"/>
      <c r="G241" s="76"/>
      <c r="H241" s="76"/>
      <c r="I241" s="76"/>
    </row>
    <row r="242" spans="2:9" ht="15" customHeight="1" x14ac:dyDescent="0.3">
      <c r="B242" s="76"/>
      <c r="C242" s="76"/>
      <c r="D242" s="76"/>
      <c r="E242" s="76"/>
      <c r="F242" s="76"/>
      <c r="G242" s="76"/>
      <c r="H242" s="76"/>
      <c r="I242" s="76"/>
    </row>
    <row r="243" spans="2:9" ht="15" customHeight="1" x14ac:dyDescent="0.3">
      <c r="B243" s="76"/>
      <c r="C243" s="76"/>
      <c r="D243" s="76"/>
      <c r="E243" s="76"/>
      <c r="F243" s="76"/>
      <c r="G243" s="76"/>
      <c r="H243" s="76"/>
      <c r="I243" s="76"/>
    </row>
    <row r="244" spans="2:9" ht="15" customHeight="1" x14ac:dyDescent="0.3">
      <c r="B244" s="76"/>
      <c r="C244" s="76"/>
      <c r="D244" s="76"/>
      <c r="E244" s="76"/>
      <c r="F244" s="76"/>
      <c r="G244" s="76"/>
      <c r="H244" s="76"/>
      <c r="I244" s="76"/>
    </row>
    <row r="245" spans="2:9" ht="15" customHeight="1" x14ac:dyDescent="0.3">
      <c r="B245" s="76"/>
      <c r="C245" s="76"/>
      <c r="D245" s="76"/>
      <c r="E245" s="76"/>
      <c r="F245" s="76"/>
      <c r="G245" s="76"/>
      <c r="H245" s="76"/>
      <c r="I245" s="76"/>
    </row>
    <row r="246" spans="2:9" ht="15" customHeight="1" x14ac:dyDescent="0.3">
      <c r="B246" s="76"/>
      <c r="C246" s="76"/>
      <c r="D246" s="76"/>
      <c r="E246" s="76"/>
      <c r="F246" s="76"/>
      <c r="G246" s="76"/>
      <c r="H246" s="76"/>
      <c r="I246" s="76"/>
    </row>
    <row r="247" spans="2:9" ht="15" customHeight="1" x14ac:dyDescent="0.3">
      <c r="B247" s="76"/>
      <c r="C247" s="76"/>
      <c r="D247" s="76"/>
      <c r="E247" s="76"/>
      <c r="F247" s="76"/>
      <c r="G247" s="76"/>
      <c r="H247" s="76"/>
      <c r="I247" s="76"/>
    </row>
    <row r="248" spans="2:9" ht="15" customHeight="1" x14ac:dyDescent="0.3">
      <c r="B248" s="76"/>
      <c r="C248" s="76"/>
      <c r="D248" s="76"/>
      <c r="E248" s="76"/>
      <c r="F248" s="76"/>
      <c r="G248" s="76"/>
      <c r="H248" s="76"/>
      <c r="I248" s="76"/>
    </row>
    <row r="249" spans="2:9" ht="15" customHeight="1" x14ac:dyDescent="0.3">
      <c r="B249" s="76"/>
      <c r="C249" s="76"/>
      <c r="D249" s="76"/>
      <c r="E249" s="76"/>
      <c r="F249" s="76"/>
      <c r="G249" s="76"/>
      <c r="H249" s="76"/>
      <c r="I249" s="76"/>
    </row>
    <row r="250" spans="2:9" ht="15" customHeight="1" x14ac:dyDescent="0.3">
      <c r="B250" s="76"/>
      <c r="C250" s="76"/>
      <c r="D250" s="76"/>
      <c r="E250" s="76"/>
      <c r="F250" s="76"/>
      <c r="G250" s="76"/>
      <c r="H250" s="76"/>
      <c r="I250" s="76"/>
    </row>
    <row r="251" spans="2:9" ht="15" customHeight="1" x14ac:dyDescent="0.3">
      <c r="B251" s="76"/>
      <c r="C251" s="76"/>
      <c r="D251" s="76"/>
      <c r="E251" s="76"/>
      <c r="F251" s="76"/>
      <c r="G251" s="76"/>
      <c r="H251" s="76"/>
      <c r="I251" s="76"/>
    </row>
    <row r="252" spans="2:9" ht="15" customHeight="1" x14ac:dyDescent="0.3">
      <c r="B252" s="76"/>
      <c r="C252" s="76"/>
      <c r="D252" s="76"/>
      <c r="E252" s="76"/>
      <c r="F252" s="76"/>
      <c r="G252" s="76"/>
      <c r="H252" s="76"/>
      <c r="I252" s="76"/>
    </row>
    <row r="253" spans="2:9" ht="15" customHeight="1" x14ac:dyDescent="0.3">
      <c r="B253" s="76"/>
      <c r="C253" s="76"/>
      <c r="D253" s="76"/>
      <c r="E253" s="76"/>
      <c r="F253" s="76"/>
      <c r="G253" s="76"/>
      <c r="H253" s="76"/>
      <c r="I253" s="76"/>
    </row>
    <row r="254" spans="2:9" ht="15" customHeight="1" x14ac:dyDescent="0.3">
      <c r="B254" s="76"/>
      <c r="C254" s="76"/>
      <c r="D254" s="76"/>
      <c r="E254" s="76"/>
      <c r="F254" s="76"/>
      <c r="G254" s="76"/>
      <c r="H254" s="76"/>
      <c r="I254" s="76"/>
    </row>
    <row r="255" spans="2:9" ht="15" customHeight="1" x14ac:dyDescent="0.3">
      <c r="B255" s="76"/>
      <c r="C255" s="76"/>
      <c r="D255" s="76"/>
      <c r="E255" s="76"/>
      <c r="F255" s="76"/>
      <c r="G255" s="76"/>
      <c r="H255" s="76"/>
      <c r="I255" s="76"/>
    </row>
    <row r="256" spans="2:9" ht="15" customHeight="1" x14ac:dyDescent="0.3">
      <c r="B256" s="76"/>
      <c r="C256" s="76"/>
      <c r="D256" s="76"/>
      <c r="E256" s="76"/>
      <c r="F256" s="76"/>
      <c r="G256" s="76"/>
      <c r="H256" s="76"/>
      <c r="I256" s="76"/>
    </row>
    <row r="257" spans="2:9" ht="15" customHeight="1" x14ac:dyDescent="0.3">
      <c r="B257" s="76"/>
      <c r="C257" s="76"/>
      <c r="D257" s="76"/>
      <c r="E257" s="76"/>
      <c r="F257" s="76"/>
      <c r="G257" s="76"/>
      <c r="H257" s="76"/>
      <c r="I257" s="76"/>
    </row>
    <row r="258" spans="2:9" ht="15" customHeight="1" x14ac:dyDescent="0.3">
      <c r="B258" s="76"/>
      <c r="C258" s="76"/>
      <c r="D258" s="76"/>
      <c r="E258" s="76"/>
      <c r="F258" s="76"/>
      <c r="G258" s="76"/>
      <c r="H258" s="76"/>
      <c r="I258" s="76"/>
    </row>
    <row r="259" spans="2:9" ht="15" customHeight="1" x14ac:dyDescent="0.3">
      <c r="B259" s="76"/>
      <c r="C259" s="76"/>
      <c r="D259" s="76"/>
      <c r="E259" s="76"/>
      <c r="F259" s="76"/>
      <c r="G259" s="76"/>
      <c r="H259" s="76"/>
      <c r="I259" s="76"/>
    </row>
    <row r="260" spans="2:9" ht="15" customHeight="1" x14ac:dyDescent="0.3">
      <c r="B260" s="76"/>
      <c r="C260" s="76"/>
      <c r="D260" s="76"/>
      <c r="E260" s="76"/>
      <c r="F260" s="76"/>
      <c r="G260" s="76"/>
      <c r="H260" s="76"/>
      <c r="I260" s="76"/>
    </row>
    <row r="261" spans="2:9" ht="15" customHeight="1" x14ac:dyDescent="0.3">
      <c r="B261" s="76"/>
      <c r="C261" s="76"/>
      <c r="D261" s="76"/>
      <c r="E261" s="76"/>
      <c r="F261" s="76"/>
      <c r="G261" s="76"/>
      <c r="H261" s="76"/>
      <c r="I261" s="76"/>
    </row>
    <row r="262" spans="2:9" ht="15" customHeight="1" x14ac:dyDescent="0.3">
      <c r="B262" s="76"/>
      <c r="C262" s="76"/>
      <c r="D262" s="76"/>
      <c r="E262" s="76"/>
      <c r="F262" s="76"/>
      <c r="G262" s="76"/>
      <c r="H262" s="76"/>
      <c r="I262" s="76"/>
    </row>
    <row r="263" spans="2:9" ht="15" customHeight="1" x14ac:dyDescent="0.3">
      <c r="B263" s="76"/>
      <c r="C263" s="76"/>
      <c r="D263" s="76"/>
      <c r="E263" s="76"/>
      <c r="F263" s="76"/>
      <c r="G263" s="76"/>
      <c r="H263" s="76"/>
      <c r="I263" s="76"/>
    </row>
    <row r="264" spans="2:9" ht="15" customHeight="1" x14ac:dyDescent="0.3">
      <c r="B264" s="76"/>
      <c r="C264" s="76"/>
      <c r="D264" s="76"/>
      <c r="E264" s="76"/>
      <c r="F264" s="76"/>
      <c r="G264" s="76"/>
      <c r="H264" s="76"/>
      <c r="I264" s="76"/>
    </row>
    <row r="265" spans="2:9" ht="15" customHeight="1" x14ac:dyDescent="0.3">
      <c r="B265" s="76"/>
      <c r="C265" s="76"/>
      <c r="D265" s="76"/>
      <c r="E265" s="76"/>
      <c r="F265" s="76"/>
      <c r="G265" s="76"/>
      <c r="H265" s="76"/>
      <c r="I265" s="76"/>
    </row>
    <row r="266" spans="2:9" ht="15" customHeight="1" x14ac:dyDescent="0.3">
      <c r="B266" s="76"/>
      <c r="C266" s="76"/>
      <c r="D266" s="76"/>
      <c r="E266" s="76"/>
      <c r="F266" s="76"/>
      <c r="G266" s="76"/>
      <c r="H266" s="76"/>
      <c r="I266" s="76"/>
    </row>
    <row r="267" spans="2:9" ht="15" customHeight="1" x14ac:dyDescent="0.3">
      <c r="B267" s="76"/>
      <c r="C267" s="76"/>
      <c r="D267" s="76"/>
      <c r="E267" s="76"/>
      <c r="F267" s="76"/>
      <c r="G267" s="76"/>
      <c r="H267" s="76"/>
      <c r="I267" s="76"/>
    </row>
    <row r="268" spans="2:9" ht="15" customHeight="1" x14ac:dyDescent="0.3">
      <c r="B268" s="76"/>
      <c r="C268" s="76"/>
      <c r="D268" s="76"/>
      <c r="E268" s="76"/>
      <c r="F268" s="76"/>
      <c r="G268" s="76"/>
      <c r="H268" s="76"/>
      <c r="I268" s="76"/>
    </row>
    <row r="269" spans="2:9" ht="15" customHeight="1" x14ac:dyDescent="0.3">
      <c r="B269" s="76"/>
      <c r="C269" s="76"/>
      <c r="D269" s="76"/>
      <c r="E269" s="76"/>
      <c r="F269" s="76"/>
      <c r="G269" s="76"/>
      <c r="H269" s="76"/>
      <c r="I269" s="76"/>
    </row>
    <row r="270" spans="2:9" ht="15" customHeight="1" x14ac:dyDescent="0.3">
      <c r="B270" s="76"/>
      <c r="C270" s="76"/>
      <c r="D270" s="76"/>
      <c r="E270" s="76"/>
      <c r="F270" s="76"/>
      <c r="G270" s="76"/>
      <c r="H270" s="76"/>
      <c r="I270" s="76"/>
    </row>
    <row r="271" spans="2:9" ht="15" customHeight="1" x14ac:dyDescent="0.3">
      <c r="B271" s="76"/>
      <c r="C271" s="76"/>
      <c r="D271" s="76"/>
      <c r="E271" s="76"/>
      <c r="F271" s="76"/>
      <c r="G271" s="76"/>
      <c r="H271" s="76"/>
      <c r="I271" s="76"/>
    </row>
    <row r="272" spans="2:9" ht="15" customHeight="1" x14ac:dyDescent="0.3">
      <c r="B272" s="76"/>
      <c r="C272" s="76"/>
      <c r="D272" s="76"/>
      <c r="E272" s="76"/>
      <c r="F272" s="76"/>
      <c r="G272" s="76"/>
      <c r="H272" s="76"/>
      <c r="I272" s="76"/>
    </row>
    <row r="273" spans="2:9" ht="15" customHeight="1" x14ac:dyDescent="0.3">
      <c r="B273" s="76"/>
      <c r="C273" s="76"/>
      <c r="D273" s="76"/>
      <c r="E273" s="76"/>
      <c r="F273" s="76"/>
      <c r="G273" s="76"/>
      <c r="H273" s="76"/>
      <c r="I273" s="76"/>
    </row>
    <row r="274" spans="2:9" ht="15" customHeight="1" x14ac:dyDescent="0.3">
      <c r="B274" s="76"/>
      <c r="C274" s="76"/>
      <c r="D274" s="76"/>
      <c r="E274" s="76"/>
      <c r="F274" s="76"/>
      <c r="G274" s="76"/>
      <c r="H274" s="76"/>
      <c r="I274" s="76"/>
    </row>
    <row r="275" spans="2:9" ht="15" customHeight="1" x14ac:dyDescent="0.3">
      <c r="B275" s="76"/>
      <c r="C275" s="76"/>
      <c r="D275" s="76"/>
      <c r="E275" s="76"/>
      <c r="F275" s="76"/>
      <c r="G275" s="76"/>
      <c r="H275" s="76"/>
      <c r="I275" s="76"/>
    </row>
    <row r="276" spans="2:9" ht="15" customHeight="1" x14ac:dyDescent="0.3">
      <c r="B276" s="76"/>
      <c r="C276" s="76"/>
      <c r="D276" s="76"/>
      <c r="E276" s="76"/>
      <c r="F276" s="76"/>
      <c r="G276" s="76"/>
      <c r="H276" s="76"/>
      <c r="I276" s="76"/>
    </row>
    <row r="277" spans="2:9" ht="15" customHeight="1" x14ac:dyDescent="0.3">
      <c r="B277" s="76"/>
      <c r="C277" s="76"/>
      <c r="D277" s="76"/>
      <c r="E277" s="76"/>
      <c r="F277" s="76"/>
      <c r="G277" s="76"/>
      <c r="H277" s="76"/>
      <c r="I277" s="76"/>
    </row>
    <row r="278" spans="2:9" ht="15" customHeight="1" x14ac:dyDescent="0.3">
      <c r="B278" s="76"/>
      <c r="C278" s="76"/>
      <c r="D278" s="76"/>
      <c r="E278" s="76"/>
      <c r="F278" s="76"/>
      <c r="G278" s="76"/>
      <c r="H278" s="76"/>
      <c r="I278" s="76"/>
    </row>
    <row r="279" spans="2:9" ht="15" customHeight="1" x14ac:dyDescent="0.3">
      <c r="B279" s="76"/>
      <c r="C279" s="76"/>
      <c r="D279" s="76"/>
      <c r="E279" s="76"/>
      <c r="F279" s="76"/>
      <c r="G279" s="76"/>
      <c r="H279" s="76"/>
      <c r="I279" s="76"/>
    </row>
    <row r="280" spans="2:9" ht="15" customHeight="1" x14ac:dyDescent="0.3">
      <c r="B280" s="76"/>
      <c r="C280" s="76"/>
      <c r="D280" s="76"/>
      <c r="E280" s="76"/>
      <c r="F280" s="76"/>
      <c r="G280" s="76"/>
      <c r="H280" s="76"/>
      <c r="I280" s="76"/>
    </row>
    <row r="281" spans="2:9" ht="15" customHeight="1" x14ac:dyDescent="0.3">
      <c r="B281" s="76"/>
      <c r="C281" s="76"/>
      <c r="D281" s="76"/>
      <c r="E281" s="76"/>
      <c r="F281" s="76"/>
      <c r="G281" s="76"/>
      <c r="H281" s="76"/>
      <c r="I281" s="76"/>
    </row>
    <row r="282" spans="2:9" ht="15" customHeight="1" x14ac:dyDescent="0.3">
      <c r="B282" s="76"/>
      <c r="C282" s="76"/>
      <c r="D282" s="76"/>
      <c r="E282" s="76"/>
      <c r="F282" s="76"/>
      <c r="G282" s="76"/>
      <c r="H282" s="76"/>
      <c r="I282" s="76"/>
    </row>
    <row r="283" spans="2:9" ht="15" customHeight="1" x14ac:dyDescent="0.3">
      <c r="B283" s="76"/>
      <c r="C283" s="76"/>
      <c r="D283" s="76"/>
      <c r="E283" s="76"/>
      <c r="F283" s="76"/>
      <c r="G283" s="76"/>
      <c r="H283" s="76"/>
      <c r="I283" s="76"/>
    </row>
    <row r="284" spans="2:9" ht="15" customHeight="1" x14ac:dyDescent="0.3">
      <c r="B284" s="76"/>
      <c r="C284" s="76"/>
      <c r="D284" s="76"/>
      <c r="E284" s="76"/>
      <c r="F284" s="76"/>
      <c r="G284" s="76"/>
      <c r="H284" s="76"/>
      <c r="I284" s="76"/>
    </row>
    <row r="285" spans="2:9" ht="15" customHeight="1" x14ac:dyDescent="0.3">
      <c r="B285" s="76"/>
      <c r="C285" s="76"/>
      <c r="D285" s="76"/>
      <c r="E285" s="76"/>
      <c r="F285" s="76"/>
      <c r="G285" s="76"/>
      <c r="H285" s="76"/>
      <c r="I285" s="76"/>
    </row>
    <row r="286" spans="2:9" ht="15" customHeight="1" x14ac:dyDescent="0.3">
      <c r="B286" s="76"/>
      <c r="C286" s="76"/>
      <c r="D286" s="76"/>
      <c r="E286" s="76"/>
      <c r="F286" s="76"/>
      <c r="G286" s="76"/>
      <c r="H286" s="76"/>
      <c r="I286" s="76"/>
    </row>
    <row r="287" spans="2:9" ht="15" customHeight="1" x14ac:dyDescent="0.3">
      <c r="B287" s="76"/>
      <c r="C287" s="76"/>
      <c r="D287" s="76"/>
      <c r="E287" s="76"/>
      <c r="F287" s="76"/>
      <c r="G287" s="76"/>
      <c r="H287" s="76"/>
      <c r="I287" s="76"/>
    </row>
    <row r="288" spans="2:9" ht="15" customHeight="1" x14ac:dyDescent="0.3">
      <c r="B288" s="76"/>
      <c r="C288" s="76"/>
      <c r="D288" s="76"/>
      <c r="E288" s="76"/>
      <c r="F288" s="76"/>
      <c r="G288" s="76"/>
      <c r="H288" s="76"/>
      <c r="I288" s="76"/>
    </row>
    <row r="289" spans="2:9" ht="15" customHeight="1" x14ac:dyDescent="0.3">
      <c r="B289" s="76"/>
      <c r="C289" s="76"/>
      <c r="D289" s="76"/>
      <c r="E289" s="76"/>
      <c r="F289" s="76"/>
      <c r="G289" s="76"/>
      <c r="H289" s="76"/>
      <c r="I289" s="76"/>
    </row>
    <row r="290" spans="2:9" ht="15" customHeight="1" x14ac:dyDescent="0.3">
      <c r="B290" s="76"/>
      <c r="C290" s="76"/>
      <c r="D290" s="76"/>
      <c r="E290" s="76"/>
      <c r="F290" s="76"/>
      <c r="G290" s="76"/>
      <c r="H290" s="76"/>
      <c r="I290" s="76"/>
    </row>
    <row r="291" spans="2:9" ht="15" customHeight="1" x14ac:dyDescent="0.3">
      <c r="B291" s="76"/>
      <c r="C291" s="76"/>
      <c r="D291" s="76"/>
      <c r="E291" s="76"/>
      <c r="F291" s="76"/>
      <c r="G291" s="76"/>
      <c r="H291" s="76"/>
      <c r="I291" s="76"/>
    </row>
    <row r="292" spans="2:9" ht="15" customHeight="1" x14ac:dyDescent="0.3">
      <c r="B292" s="76"/>
      <c r="C292" s="76"/>
      <c r="D292" s="76"/>
      <c r="E292" s="76"/>
      <c r="F292" s="76"/>
      <c r="G292" s="76"/>
      <c r="H292" s="76"/>
      <c r="I292" s="76"/>
    </row>
    <row r="293" spans="2:9" ht="15" customHeight="1" x14ac:dyDescent="0.3">
      <c r="B293" s="76"/>
      <c r="C293" s="76"/>
      <c r="D293" s="76"/>
      <c r="E293" s="76"/>
      <c r="F293" s="76"/>
      <c r="G293" s="76"/>
      <c r="H293" s="76"/>
      <c r="I293" s="76"/>
    </row>
    <row r="294" spans="2:9" ht="15" customHeight="1" x14ac:dyDescent="0.3">
      <c r="B294" s="76"/>
      <c r="C294" s="76"/>
      <c r="D294" s="76"/>
      <c r="E294" s="76"/>
      <c r="F294" s="76"/>
      <c r="G294" s="76"/>
      <c r="H294" s="76"/>
      <c r="I294" s="76"/>
    </row>
    <row r="295" spans="2:9" ht="15" customHeight="1" x14ac:dyDescent="0.3">
      <c r="B295" s="76"/>
      <c r="C295" s="76"/>
      <c r="D295" s="76"/>
      <c r="E295" s="76"/>
      <c r="F295" s="76"/>
      <c r="G295" s="76"/>
      <c r="H295" s="76"/>
      <c r="I295" s="76"/>
    </row>
    <row r="296" spans="2:9" ht="15" customHeight="1" x14ac:dyDescent="0.3">
      <c r="B296" s="76"/>
      <c r="C296" s="76"/>
      <c r="D296" s="76"/>
      <c r="E296" s="76"/>
      <c r="F296" s="76"/>
      <c r="G296" s="76"/>
      <c r="H296" s="76"/>
      <c r="I296" s="76"/>
    </row>
    <row r="297" spans="2:9" ht="15" customHeight="1" x14ac:dyDescent="0.3">
      <c r="B297" s="76"/>
      <c r="C297" s="76"/>
      <c r="D297" s="76"/>
      <c r="E297" s="76"/>
      <c r="F297" s="76"/>
      <c r="G297" s="76"/>
      <c r="H297" s="76"/>
      <c r="I297" s="76"/>
    </row>
    <row r="298" spans="2:9" ht="15" customHeight="1" x14ac:dyDescent="0.3">
      <c r="B298" s="76"/>
      <c r="C298" s="76"/>
      <c r="D298" s="76"/>
      <c r="E298" s="76"/>
      <c r="F298" s="76"/>
      <c r="G298" s="76"/>
      <c r="H298" s="76"/>
      <c r="I298" s="76"/>
    </row>
    <row r="299" spans="2:9" ht="15" customHeight="1" x14ac:dyDescent="0.3">
      <c r="B299" s="76"/>
      <c r="C299" s="76"/>
      <c r="D299" s="76"/>
      <c r="E299" s="76"/>
      <c r="F299" s="76"/>
      <c r="G299" s="76"/>
      <c r="H299" s="76"/>
      <c r="I299" s="76"/>
    </row>
    <row r="300" spans="2:9" ht="15" customHeight="1" x14ac:dyDescent="0.3">
      <c r="B300" s="76"/>
      <c r="C300" s="76"/>
      <c r="D300" s="76"/>
      <c r="E300" s="76"/>
      <c r="F300" s="76"/>
      <c r="G300" s="76"/>
      <c r="H300" s="76"/>
      <c r="I300" s="76"/>
    </row>
    <row r="301" spans="2:9" ht="15" customHeight="1" x14ac:dyDescent="0.3">
      <c r="B301" s="76"/>
      <c r="C301" s="76"/>
      <c r="D301" s="76"/>
      <c r="E301" s="76"/>
      <c r="F301" s="76"/>
      <c r="G301" s="76"/>
      <c r="H301" s="76"/>
      <c r="I301" s="76"/>
    </row>
    <row r="302" spans="2:9" ht="15" customHeight="1" x14ac:dyDescent="0.3">
      <c r="B302" s="76"/>
      <c r="C302" s="76"/>
      <c r="D302" s="76"/>
      <c r="E302" s="76"/>
      <c r="F302" s="76"/>
      <c r="G302" s="76"/>
      <c r="H302" s="76"/>
      <c r="I302" s="76"/>
    </row>
    <row r="303" spans="2:9" ht="15" customHeight="1" x14ac:dyDescent="0.3">
      <c r="B303" s="76"/>
      <c r="C303" s="76"/>
      <c r="D303" s="76"/>
      <c r="E303" s="76"/>
      <c r="F303" s="76"/>
      <c r="G303" s="76"/>
      <c r="H303" s="76"/>
      <c r="I303" s="76"/>
    </row>
    <row r="304" spans="2:9" ht="15" customHeight="1" x14ac:dyDescent="0.3">
      <c r="B304" s="76"/>
      <c r="C304" s="76"/>
      <c r="D304" s="76"/>
      <c r="E304" s="76"/>
      <c r="F304" s="76"/>
      <c r="G304" s="76"/>
      <c r="H304" s="76"/>
      <c r="I304" s="76"/>
    </row>
    <row r="305" spans="2:9" ht="15" customHeight="1" x14ac:dyDescent="0.3">
      <c r="B305" s="76"/>
      <c r="C305" s="76"/>
      <c r="D305" s="76"/>
      <c r="E305" s="76"/>
      <c r="F305" s="76"/>
      <c r="G305" s="76"/>
      <c r="H305" s="76"/>
      <c r="I305" s="76"/>
    </row>
    <row r="306" spans="2:9" ht="15" customHeight="1" x14ac:dyDescent="0.3">
      <c r="B306" s="76"/>
      <c r="C306" s="76"/>
      <c r="D306" s="76"/>
      <c r="E306" s="76"/>
      <c r="F306" s="76"/>
      <c r="G306" s="76"/>
      <c r="H306" s="76"/>
      <c r="I306" s="76"/>
    </row>
    <row r="307" spans="2:9" ht="15" customHeight="1" x14ac:dyDescent="0.3">
      <c r="B307" s="76"/>
      <c r="C307" s="76"/>
      <c r="D307" s="76"/>
      <c r="E307" s="76"/>
      <c r="F307" s="76"/>
      <c r="G307" s="76"/>
      <c r="H307" s="76"/>
      <c r="I307" s="76"/>
    </row>
    <row r="308" spans="2:9" ht="15" customHeight="1" x14ac:dyDescent="0.3">
      <c r="B308" s="76"/>
      <c r="C308" s="76"/>
      <c r="D308" s="76"/>
      <c r="E308" s="76"/>
      <c r="F308" s="76"/>
      <c r="G308" s="76"/>
      <c r="H308" s="76"/>
      <c r="I308" s="76"/>
    </row>
    <row r="309" spans="2:9" ht="15" customHeight="1" x14ac:dyDescent="0.3">
      <c r="B309" s="76"/>
      <c r="C309" s="76"/>
      <c r="D309" s="76"/>
      <c r="E309" s="76"/>
      <c r="F309" s="76"/>
      <c r="G309" s="76"/>
      <c r="H309" s="76"/>
      <c r="I309" s="76"/>
    </row>
    <row r="310" spans="2:9" ht="15" customHeight="1" x14ac:dyDescent="0.3">
      <c r="B310" s="76"/>
      <c r="C310" s="76"/>
      <c r="D310" s="76"/>
      <c r="E310" s="76"/>
      <c r="F310" s="76"/>
      <c r="G310" s="76"/>
      <c r="H310" s="76"/>
      <c r="I310" s="76"/>
    </row>
    <row r="311" spans="2:9" ht="15" customHeight="1" x14ac:dyDescent="0.3">
      <c r="B311" s="76"/>
      <c r="C311" s="76"/>
      <c r="D311" s="76"/>
      <c r="E311" s="76"/>
      <c r="F311" s="76"/>
      <c r="G311" s="76"/>
      <c r="H311" s="76"/>
      <c r="I311" s="76"/>
    </row>
    <row r="312" spans="2:9" ht="15" customHeight="1" x14ac:dyDescent="0.3">
      <c r="B312" s="76"/>
      <c r="C312" s="76"/>
      <c r="D312" s="76"/>
      <c r="E312" s="76"/>
      <c r="F312" s="76"/>
      <c r="G312" s="76"/>
      <c r="H312" s="76"/>
      <c r="I312" s="76"/>
    </row>
    <row r="313" spans="2:9" ht="15" customHeight="1" x14ac:dyDescent="0.3">
      <c r="B313" s="76"/>
      <c r="C313" s="76"/>
      <c r="D313" s="76"/>
      <c r="E313" s="76"/>
      <c r="F313" s="76"/>
      <c r="G313" s="76"/>
      <c r="H313" s="76"/>
      <c r="I313" s="76"/>
    </row>
    <row r="314" spans="2:9" ht="15" customHeight="1" x14ac:dyDescent="0.3">
      <c r="B314" s="76"/>
      <c r="C314" s="76"/>
      <c r="D314" s="76"/>
      <c r="E314" s="76"/>
      <c r="F314" s="76"/>
      <c r="G314" s="76"/>
      <c r="H314" s="76"/>
      <c r="I314" s="76"/>
    </row>
    <row r="315" spans="2:9" ht="15" customHeight="1" x14ac:dyDescent="0.3">
      <c r="B315" s="76"/>
      <c r="C315" s="76"/>
      <c r="D315" s="76"/>
      <c r="E315" s="76"/>
      <c r="F315" s="76"/>
      <c r="G315" s="76"/>
      <c r="H315" s="76"/>
      <c r="I315" s="76"/>
    </row>
    <row r="316" spans="2:9" ht="15" customHeight="1" x14ac:dyDescent="0.3">
      <c r="B316" s="76"/>
      <c r="C316" s="76"/>
      <c r="D316" s="76"/>
      <c r="E316" s="76"/>
      <c r="F316" s="76"/>
      <c r="G316" s="76"/>
      <c r="H316" s="76"/>
      <c r="I316" s="76"/>
    </row>
    <row r="317" spans="2:9" ht="15" customHeight="1" x14ac:dyDescent="0.3">
      <c r="B317" s="76"/>
      <c r="C317" s="76"/>
      <c r="D317" s="76"/>
      <c r="E317" s="76"/>
      <c r="F317" s="76"/>
      <c r="G317" s="76"/>
      <c r="H317" s="76"/>
      <c r="I317" s="76"/>
    </row>
    <row r="318" spans="2:9" ht="15" customHeight="1" x14ac:dyDescent="0.3">
      <c r="B318" s="76"/>
      <c r="C318" s="76"/>
      <c r="D318" s="76"/>
      <c r="E318" s="76"/>
      <c r="F318" s="76"/>
      <c r="G318" s="76"/>
      <c r="H318" s="76"/>
      <c r="I318" s="76"/>
    </row>
    <row r="319" spans="2:9" ht="15" customHeight="1" x14ac:dyDescent="0.3">
      <c r="B319" s="76"/>
      <c r="C319" s="76"/>
      <c r="D319" s="76"/>
      <c r="E319" s="76"/>
      <c r="F319" s="76"/>
      <c r="G319" s="76"/>
      <c r="H319" s="76"/>
      <c r="I319" s="76"/>
    </row>
    <row r="320" spans="2:9" ht="15" customHeight="1" x14ac:dyDescent="0.3">
      <c r="B320" s="76"/>
      <c r="C320" s="76"/>
      <c r="D320" s="76"/>
      <c r="E320" s="76"/>
      <c r="F320" s="76"/>
      <c r="G320" s="76"/>
      <c r="H320" s="76"/>
      <c r="I320" s="76"/>
    </row>
    <row r="321" spans="2:9" ht="15" customHeight="1" x14ac:dyDescent="0.3">
      <c r="B321" s="76"/>
      <c r="C321" s="76"/>
      <c r="D321" s="76"/>
      <c r="E321" s="76"/>
      <c r="F321" s="76"/>
      <c r="G321" s="76"/>
      <c r="H321" s="76"/>
      <c r="I321" s="76"/>
    </row>
    <row r="322" spans="2:9" ht="15" customHeight="1" x14ac:dyDescent="0.3">
      <c r="B322" s="76"/>
      <c r="C322" s="76"/>
      <c r="D322" s="76"/>
      <c r="E322" s="76"/>
      <c r="F322" s="76"/>
      <c r="G322" s="76"/>
      <c r="H322" s="76"/>
      <c r="I322" s="76"/>
    </row>
    <row r="323" spans="2:9" ht="15" customHeight="1" x14ac:dyDescent="0.3">
      <c r="B323" s="76"/>
      <c r="C323" s="76"/>
      <c r="D323" s="76"/>
      <c r="E323" s="76"/>
      <c r="F323" s="76"/>
      <c r="G323" s="76"/>
      <c r="H323" s="76"/>
      <c r="I323" s="76"/>
    </row>
    <row r="324" spans="2:9" ht="15" customHeight="1" x14ac:dyDescent="0.3">
      <c r="B324" s="76"/>
      <c r="C324" s="76"/>
      <c r="D324" s="76"/>
      <c r="E324" s="76"/>
      <c r="F324" s="76"/>
      <c r="G324" s="76"/>
      <c r="H324" s="76"/>
      <c r="I324" s="76"/>
    </row>
    <row r="325" spans="2:9" ht="15" customHeight="1" x14ac:dyDescent="0.3">
      <c r="B325" s="76"/>
      <c r="C325" s="76"/>
      <c r="D325" s="76"/>
      <c r="E325" s="76"/>
      <c r="F325" s="76"/>
      <c r="G325" s="76"/>
      <c r="H325" s="76"/>
      <c r="I325" s="76"/>
    </row>
    <row r="326" spans="2:9" ht="15" customHeight="1" x14ac:dyDescent="0.3">
      <c r="B326" s="76"/>
      <c r="C326" s="76"/>
      <c r="D326" s="76"/>
      <c r="E326" s="76"/>
      <c r="F326" s="76"/>
      <c r="G326" s="76"/>
      <c r="H326" s="76"/>
      <c r="I326" s="76"/>
    </row>
    <row r="327" spans="2:9" ht="15" customHeight="1" x14ac:dyDescent="0.3">
      <c r="B327" s="76"/>
      <c r="C327" s="76"/>
      <c r="D327" s="76"/>
      <c r="E327" s="76"/>
      <c r="F327" s="76"/>
      <c r="G327" s="76"/>
      <c r="H327" s="76"/>
      <c r="I327" s="76"/>
    </row>
    <row r="328" spans="2:9" ht="15" customHeight="1" x14ac:dyDescent="0.3">
      <c r="B328" s="76"/>
      <c r="C328" s="76"/>
      <c r="D328" s="76"/>
      <c r="E328" s="76"/>
      <c r="F328" s="76"/>
      <c r="G328" s="76"/>
      <c r="H328" s="76"/>
      <c r="I328" s="76"/>
    </row>
    <row r="329" spans="2:9" ht="15" customHeight="1" x14ac:dyDescent="0.3">
      <c r="B329" s="76"/>
      <c r="C329" s="76"/>
      <c r="D329" s="76"/>
      <c r="E329" s="76"/>
      <c r="F329" s="76"/>
      <c r="G329" s="76"/>
      <c r="H329" s="76"/>
      <c r="I329" s="76"/>
    </row>
    <row r="330" spans="2:9" ht="15" customHeight="1" x14ac:dyDescent="0.3">
      <c r="B330" s="76"/>
      <c r="C330" s="76"/>
      <c r="D330" s="76"/>
      <c r="E330" s="76"/>
      <c r="F330" s="76"/>
      <c r="G330" s="76"/>
      <c r="H330" s="76"/>
      <c r="I330" s="76"/>
    </row>
    <row r="331" spans="2:9" ht="15" customHeight="1" x14ac:dyDescent="0.3">
      <c r="B331" s="76"/>
      <c r="C331" s="76"/>
      <c r="D331" s="76"/>
      <c r="E331" s="76"/>
      <c r="F331" s="76"/>
      <c r="G331" s="76"/>
      <c r="H331" s="76"/>
      <c r="I331" s="76"/>
    </row>
    <row r="332" spans="2:9" ht="15" customHeight="1" x14ac:dyDescent="0.3">
      <c r="B332" s="76"/>
      <c r="C332" s="76"/>
      <c r="D332" s="76"/>
      <c r="E332" s="76"/>
      <c r="F332" s="76"/>
      <c r="G332" s="76"/>
      <c r="H332" s="76"/>
      <c r="I332" s="76"/>
    </row>
    <row r="333" spans="2:9" ht="15" customHeight="1" x14ac:dyDescent="0.3">
      <c r="B333" s="76"/>
      <c r="C333" s="76"/>
      <c r="D333" s="76"/>
      <c r="E333" s="76"/>
      <c r="F333" s="76"/>
      <c r="G333" s="76"/>
      <c r="H333" s="76"/>
      <c r="I333" s="76"/>
    </row>
    <row r="334" spans="2:9" ht="15" customHeight="1" x14ac:dyDescent="0.3">
      <c r="B334" s="76"/>
      <c r="C334" s="76"/>
      <c r="D334" s="76"/>
      <c r="E334" s="76"/>
      <c r="F334" s="76"/>
      <c r="G334" s="76"/>
      <c r="H334" s="76"/>
      <c r="I334" s="76"/>
    </row>
    <row r="335" spans="2:9" ht="15" customHeight="1" x14ac:dyDescent="0.3">
      <c r="B335" s="76"/>
      <c r="C335" s="76"/>
      <c r="D335" s="76"/>
      <c r="E335" s="76"/>
      <c r="F335" s="76"/>
      <c r="G335" s="76"/>
      <c r="H335" s="76"/>
      <c r="I335" s="76"/>
    </row>
    <row r="336" spans="2:9" ht="15" customHeight="1" x14ac:dyDescent="0.3">
      <c r="B336" s="76"/>
      <c r="C336" s="76"/>
      <c r="D336" s="76"/>
      <c r="E336" s="76"/>
      <c r="F336" s="76"/>
      <c r="G336" s="76"/>
      <c r="H336" s="76"/>
      <c r="I336" s="76"/>
    </row>
    <row r="337" spans="2:9" ht="15" customHeight="1" x14ac:dyDescent="0.3">
      <c r="B337" s="76"/>
      <c r="C337" s="76"/>
      <c r="D337" s="76"/>
      <c r="E337" s="76"/>
      <c r="F337" s="76"/>
      <c r="G337" s="76"/>
      <c r="H337" s="76"/>
      <c r="I337" s="76"/>
    </row>
    <row r="338" spans="2:9" ht="15" customHeight="1" x14ac:dyDescent="0.3">
      <c r="B338" s="76"/>
      <c r="C338" s="76"/>
      <c r="D338" s="76"/>
      <c r="E338" s="76"/>
      <c r="F338" s="76"/>
      <c r="G338" s="76"/>
      <c r="H338" s="76"/>
      <c r="I338" s="76"/>
    </row>
    <row r="339" spans="2:9" ht="15" customHeight="1" x14ac:dyDescent="0.3">
      <c r="B339" s="76"/>
      <c r="C339" s="76"/>
      <c r="D339" s="76"/>
      <c r="E339" s="76"/>
      <c r="F339" s="76"/>
      <c r="G339" s="76"/>
      <c r="H339" s="76"/>
      <c r="I339" s="76"/>
    </row>
    <row r="340" spans="2:9" ht="15" customHeight="1" x14ac:dyDescent="0.3">
      <c r="B340" s="76"/>
      <c r="C340" s="76"/>
      <c r="D340" s="76"/>
      <c r="E340" s="76"/>
      <c r="F340" s="76"/>
      <c r="G340" s="76"/>
      <c r="H340" s="76"/>
      <c r="I340" s="76"/>
    </row>
    <row r="341" spans="2:9" ht="15" customHeight="1" x14ac:dyDescent="0.3">
      <c r="B341" s="76"/>
      <c r="C341" s="76"/>
      <c r="D341" s="76"/>
      <c r="E341" s="76"/>
      <c r="F341" s="76"/>
      <c r="G341" s="76"/>
      <c r="H341" s="76"/>
      <c r="I341" s="76"/>
    </row>
    <row r="342" spans="2:9" ht="15" customHeight="1" x14ac:dyDescent="0.3">
      <c r="B342" s="76"/>
      <c r="C342" s="76"/>
      <c r="D342" s="76"/>
      <c r="E342" s="76"/>
      <c r="F342" s="76"/>
      <c r="G342" s="76"/>
      <c r="H342" s="76"/>
      <c r="I342" s="76"/>
    </row>
    <row r="343" spans="2:9" ht="15" customHeight="1" x14ac:dyDescent="0.3">
      <c r="B343" s="76"/>
      <c r="C343" s="76"/>
      <c r="D343" s="76"/>
      <c r="E343" s="76"/>
      <c r="F343" s="76"/>
      <c r="G343" s="76"/>
      <c r="H343" s="76"/>
      <c r="I343" s="76"/>
    </row>
    <row r="344" spans="2:9" ht="15" customHeight="1" x14ac:dyDescent="0.3">
      <c r="B344" s="76"/>
      <c r="C344" s="76"/>
      <c r="D344" s="76"/>
      <c r="E344" s="76"/>
      <c r="F344" s="76"/>
      <c r="G344" s="76"/>
      <c r="H344" s="76"/>
      <c r="I344" s="76"/>
    </row>
    <row r="345" spans="2:9" ht="15" customHeight="1" x14ac:dyDescent="0.3">
      <c r="B345" s="76"/>
      <c r="C345" s="76"/>
      <c r="D345" s="76"/>
      <c r="E345" s="76"/>
      <c r="F345" s="76"/>
      <c r="G345" s="76"/>
      <c r="H345" s="76"/>
      <c r="I345" s="76"/>
    </row>
    <row r="346" spans="2:9" ht="15" customHeight="1" x14ac:dyDescent="0.3">
      <c r="B346" s="76"/>
      <c r="C346" s="76"/>
      <c r="D346" s="76"/>
      <c r="E346" s="76"/>
      <c r="F346" s="76"/>
      <c r="G346" s="76"/>
      <c r="H346" s="76"/>
      <c r="I346" s="76"/>
    </row>
    <row r="347" spans="2:9" ht="15" customHeight="1" x14ac:dyDescent="0.3">
      <c r="B347" s="76"/>
      <c r="C347" s="76"/>
      <c r="D347" s="76"/>
      <c r="E347" s="76"/>
      <c r="F347" s="76"/>
      <c r="G347" s="76"/>
      <c r="H347" s="76"/>
      <c r="I347" s="76"/>
    </row>
    <row r="348" spans="2:9" ht="15" customHeight="1" x14ac:dyDescent="0.3">
      <c r="B348" s="76"/>
      <c r="C348" s="76"/>
      <c r="D348" s="76"/>
      <c r="E348" s="76"/>
      <c r="F348" s="76"/>
      <c r="G348" s="76"/>
      <c r="H348" s="76"/>
      <c r="I348" s="76"/>
    </row>
    <row r="349" spans="2:9" ht="15" customHeight="1" x14ac:dyDescent="0.3">
      <c r="B349" s="76"/>
      <c r="C349" s="76"/>
      <c r="D349" s="76"/>
      <c r="E349" s="76"/>
      <c r="F349" s="76"/>
      <c r="G349" s="76"/>
      <c r="H349" s="76"/>
      <c r="I349" s="76"/>
    </row>
    <row r="350" spans="2:9" ht="15" customHeight="1" x14ac:dyDescent="0.3">
      <c r="B350" s="76"/>
      <c r="C350" s="76"/>
      <c r="D350" s="76"/>
      <c r="E350" s="76"/>
      <c r="F350" s="76"/>
      <c r="G350" s="76"/>
      <c r="H350" s="76"/>
      <c r="I350" s="76"/>
    </row>
    <row r="351" spans="2:9" ht="15" customHeight="1" x14ac:dyDescent="0.3">
      <c r="B351" s="76"/>
      <c r="C351" s="76"/>
      <c r="D351" s="76"/>
      <c r="E351" s="76"/>
      <c r="F351" s="76"/>
      <c r="G351" s="76"/>
      <c r="H351" s="76"/>
      <c r="I351" s="76"/>
    </row>
    <row r="352" spans="2:9" ht="15" customHeight="1" x14ac:dyDescent="0.3">
      <c r="B352" s="76"/>
      <c r="C352" s="76"/>
      <c r="D352" s="76"/>
      <c r="E352" s="76"/>
      <c r="F352" s="76"/>
      <c r="G352" s="76"/>
      <c r="H352" s="76"/>
      <c r="I352" s="76"/>
    </row>
    <row r="353" spans="2:9" ht="15" customHeight="1" x14ac:dyDescent="0.3">
      <c r="B353" s="76"/>
      <c r="C353" s="76"/>
      <c r="D353" s="76"/>
      <c r="E353" s="76"/>
      <c r="F353" s="76"/>
      <c r="G353" s="76"/>
      <c r="H353" s="76"/>
      <c r="I353" s="76"/>
    </row>
    <row r="354" spans="2:9" ht="15" customHeight="1" x14ac:dyDescent="0.3">
      <c r="B354" s="76"/>
      <c r="C354" s="76"/>
      <c r="D354" s="76"/>
      <c r="E354" s="76"/>
      <c r="F354" s="76"/>
      <c r="G354" s="76"/>
      <c r="H354" s="76"/>
      <c r="I354" s="76"/>
    </row>
    <row r="355" spans="2:9" ht="15" customHeight="1" x14ac:dyDescent="0.3">
      <c r="B355" s="76"/>
      <c r="C355" s="76"/>
      <c r="D355" s="76"/>
      <c r="E355" s="76"/>
      <c r="F355" s="76"/>
      <c r="G355" s="76"/>
      <c r="H355" s="76"/>
      <c r="I355" s="76"/>
    </row>
    <row r="356" spans="2:9" ht="15" customHeight="1" x14ac:dyDescent="0.3">
      <c r="B356" s="76"/>
      <c r="C356" s="76"/>
      <c r="D356" s="76"/>
      <c r="E356" s="76"/>
      <c r="F356" s="76"/>
      <c r="G356" s="76"/>
      <c r="H356" s="76"/>
      <c r="I356" s="76"/>
    </row>
    <row r="357" spans="2:9" ht="15" customHeight="1" x14ac:dyDescent="0.3">
      <c r="B357" s="76"/>
      <c r="C357" s="76"/>
      <c r="D357" s="76"/>
      <c r="E357" s="76"/>
      <c r="F357" s="76"/>
      <c r="G357" s="76"/>
      <c r="H357" s="76"/>
      <c r="I357" s="76"/>
    </row>
    <row r="358" spans="2:9" ht="15" customHeight="1" x14ac:dyDescent="0.3">
      <c r="B358" s="76"/>
      <c r="C358" s="76"/>
      <c r="D358" s="76"/>
      <c r="E358" s="76"/>
      <c r="F358" s="76"/>
      <c r="G358" s="76"/>
      <c r="H358" s="76"/>
      <c r="I358" s="76"/>
    </row>
    <row r="359" spans="2:9" ht="15" customHeight="1" x14ac:dyDescent="0.3"/>
    <row r="360" spans="2:9" ht="15" customHeight="1" x14ac:dyDescent="0.3"/>
    <row r="361" spans="2:9" ht="15" customHeight="1" x14ac:dyDescent="0.3"/>
    <row r="362" spans="2:9" ht="15" customHeight="1" x14ac:dyDescent="0.3"/>
    <row r="363" spans="2:9" ht="15" customHeight="1" x14ac:dyDescent="0.3"/>
    <row r="364" spans="2:9" ht="15" customHeight="1" x14ac:dyDescent="0.3"/>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Roman,Regular"&amp;12&amp;K000000Qualtrics</oddHead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615B4-A98D-4956-91A3-59F8948F5D74}">
  <dimension ref="A1:E14"/>
  <sheetViews>
    <sheetView workbookViewId="0">
      <selection activeCell="B18" sqref="B18"/>
    </sheetView>
  </sheetViews>
  <sheetFormatPr defaultRowHeight="12.45" x14ac:dyDescent="0.3"/>
  <cols>
    <col min="1" max="1" width="12.61328125" customWidth="1"/>
    <col min="2" max="2" width="50.61328125" customWidth="1"/>
    <col min="4" max="4" width="20.61328125" customWidth="1"/>
    <col min="5" max="5" width="50.61328125" customWidth="1"/>
  </cols>
  <sheetData>
    <row r="1" spans="1:5" ht="25" customHeight="1" thickBot="1" x14ac:dyDescent="0.35">
      <c r="A1" s="1" t="s">
        <v>229</v>
      </c>
      <c r="B1" s="2" t="s">
        <v>230</v>
      </c>
      <c r="D1" s="18" t="s">
        <v>229</v>
      </c>
      <c r="E1" s="2" t="s">
        <v>230</v>
      </c>
    </row>
    <row r="2" spans="1:5" ht="25" customHeight="1" x14ac:dyDescent="0.3">
      <c r="A2" s="9" t="s">
        <v>231</v>
      </c>
      <c r="B2" s="13" t="s">
        <v>232</v>
      </c>
      <c r="D2" s="19" t="s">
        <v>252</v>
      </c>
      <c r="E2" s="17" t="s">
        <v>253</v>
      </c>
    </row>
    <row r="3" spans="1:5" ht="25" customHeight="1" x14ac:dyDescent="0.3">
      <c r="A3" s="10" t="s">
        <v>233</v>
      </c>
      <c r="B3" s="14" t="s">
        <v>173</v>
      </c>
      <c r="D3" s="7" t="s">
        <v>254</v>
      </c>
      <c r="E3" s="4" t="s">
        <v>255</v>
      </c>
    </row>
    <row r="4" spans="1:5" ht="25" customHeight="1" thickBot="1" x14ac:dyDescent="0.35">
      <c r="A4" s="11" t="s">
        <v>234</v>
      </c>
      <c r="B4" s="15" t="s">
        <v>172</v>
      </c>
      <c r="D4" s="8" t="s">
        <v>256</v>
      </c>
      <c r="E4" s="5" t="s">
        <v>257</v>
      </c>
    </row>
    <row r="5" spans="1:5" ht="25" customHeight="1" x14ac:dyDescent="0.3">
      <c r="A5" s="12" t="s">
        <v>235</v>
      </c>
      <c r="B5" s="16" t="s">
        <v>236</v>
      </c>
      <c r="D5" s="6" t="s">
        <v>258</v>
      </c>
      <c r="E5" s="3" t="s">
        <v>259</v>
      </c>
    </row>
    <row r="6" spans="1:5" ht="25" customHeight="1" x14ac:dyDescent="0.3">
      <c r="A6" s="10" t="s">
        <v>237</v>
      </c>
      <c r="B6" s="14" t="s">
        <v>238</v>
      </c>
      <c r="D6" s="7" t="s">
        <v>260</v>
      </c>
      <c r="E6" s="4" t="s">
        <v>261</v>
      </c>
    </row>
    <row r="7" spans="1:5" ht="25" customHeight="1" thickBot="1" x14ac:dyDescent="0.35">
      <c r="A7" s="11" t="s">
        <v>239</v>
      </c>
      <c r="B7" s="15" t="s">
        <v>240</v>
      </c>
      <c r="D7" s="8" t="s">
        <v>262</v>
      </c>
      <c r="E7" s="5" t="s">
        <v>263</v>
      </c>
    </row>
    <row r="8" spans="1:5" ht="25" customHeight="1" x14ac:dyDescent="0.3">
      <c r="A8" s="12" t="s">
        <v>241</v>
      </c>
      <c r="B8" s="16" t="s">
        <v>242</v>
      </c>
      <c r="D8" s="6" t="s">
        <v>264</v>
      </c>
      <c r="E8" s="3" t="s">
        <v>265</v>
      </c>
    </row>
    <row r="9" spans="1:5" ht="25" customHeight="1" x14ac:dyDescent="0.3">
      <c r="A9" s="10" t="s">
        <v>243</v>
      </c>
      <c r="B9" s="14" t="s">
        <v>244</v>
      </c>
      <c r="D9" s="7" t="s">
        <v>266</v>
      </c>
      <c r="E9" s="4" t="s">
        <v>267</v>
      </c>
    </row>
    <row r="10" spans="1:5" ht="25" customHeight="1" thickBot="1" x14ac:dyDescent="0.35">
      <c r="A10" s="10" t="s">
        <v>245</v>
      </c>
      <c r="B10" s="14" t="s">
        <v>246</v>
      </c>
      <c r="D10" s="8" t="s">
        <v>268</v>
      </c>
      <c r="E10" s="5" t="s">
        <v>269</v>
      </c>
    </row>
    <row r="11" spans="1:5" ht="25" customHeight="1" x14ac:dyDescent="0.3">
      <c r="A11" s="12" t="s">
        <v>247</v>
      </c>
      <c r="B11" s="16" t="s">
        <v>248</v>
      </c>
      <c r="D11" s="7" t="s">
        <v>270</v>
      </c>
      <c r="E11" s="4" t="s">
        <v>271</v>
      </c>
    </row>
    <row r="12" spans="1:5" ht="25" customHeight="1" thickBot="1" x14ac:dyDescent="0.35">
      <c r="A12" s="11" t="s">
        <v>249</v>
      </c>
      <c r="B12" s="15" t="s">
        <v>250</v>
      </c>
      <c r="D12" s="8" t="s">
        <v>272</v>
      </c>
      <c r="E12" s="5" t="s">
        <v>273</v>
      </c>
    </row>
    <row r="13" spans="1:5" ht="25" customHeight="1" x14ac:dyDescent="0.3">
      <c r="A13" s="130" t="s">
        <v>251</v>
      </c>
      <c r="B13" s="130"/>
    </row>
    <row r="14" spans="1:5" ht="25" customHeight="1" x14ac:dyDescent="0.3"/>
  </sheetData>
  <mergeCells count="1">
    <mergeCell ref="A13: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6B4ED-EEC4-451C-906E-EAED41654C13}">
  <dimension ref="A1:I72"/>
  <sheetViews>
    <sheetView tabSelected="1" zoomScale="115" zoomScaleNormal="115" workbookViewId="0">
      <pane ySplit="1" topLeftCell="A2" activePane="bottomLeft" state="frozen"/>
      <selection pane="bottomLeft" activeCell="C74" sqref="C74"/>
    </sheetView>
  </sheetViews>
  <sheetFormatPr defaultRowHeight="12.45" x14ac:dyDescent="0.3"/>
  <cols>
    <col min="1" max="1" width="24.921875" style="123" customWidth="1"/>
    <col min="2" max="2" width="32.15234375" style="123" customWidth="1"/>
    <col min="3" max="3" width="14.07421875" style="123" customWidth="1"/>
    <col min="4" max="4" width="31.61328125" style="123" customWidth="1"/>
    <col min="5" max="5" width="10.3828125" style="123" customWidth="1"/>
    <col min="6" max="6" width="15.69140625" style="123" customWidth="1"/>
    <col min="7" max="7" width="19.3828125" style="123" customWidth="1"/>
    <col min="8" max="8" width="9.23046875" style="123"/>
    <col min="9" max="9" width="18.15234375" style="123" customWidth="1"/>
    <col min="10" max="16384" width="9.23046875" style="123"/>
  </cols>
  <sheetData>
    <row r="1" spans="1:9" ht="66" customHeight="1" thickBot="1" x14ac:dyDescent="0.35">
      <c r="A1" s="44" t="s">
        <v>0</v>
      </c>
      <c r="B1" s="45" t="s">
        <v>1</v>
      </c>
      <c r="C1" s="45" t="s">
        <v>2</v>
      </c>
      <c r="D1" s="45" t="s">
        <v>3</v>
      </c>
      <c r="E1" s="45" t="s">
        <v>4</v>
      </c>
      <c r="F1" s="45" t="s">
        <v>5</v>
      </c>
      <c r="G1" s="45" t="s">
        <v>6</v>
      </c>
      <c r="H1" s="45" t="s">
        <v>7</v>
      </c>
      <c r="I1" s="125" t="s">
        <v>8</v>
      </c>
    </row>
    <row r="2" spans="1:9" ht="15" customHeight="1" x14ac:dyDescent="0.3">
      <c r="A2" s="114" t="s">
        <v>439</v>
      </c>
      <c r="B2" s="114" t="s">
        <v>439</v>
      </c>
      <c r="C2" s="114" t="s">
        <v>440</v>
      </c>
      <c r="D2" s="114" t="s">
        <v>441</v>
      </c>
      <c r="E2" s="114" t="s">
        <v>442</v>
      </c>
      <c r="F2" s="114">
        <v>0</v>
      </c>
      <c r="G2" s="114" t="s">
        <v>443</v>
      </c>
      <c r="H2" s="114" t="str">
        <f t="shared" ref="H2:H33" si="0">_xlfn.CONCAT(F2," = ",G2)</f>
        <v>0 = None</v>
      </c>
      <c r="I2" s="115">
        <v>1</v>
      </c>
    </row>
    <row r="3" spans="1:9" ht="15" customHeight="1" x14ac:dyDescent="0.3">
      <c r="A3" s="116"/>
      <c r="B3" s="117"/>
      <c r="C3" s="117"/>
      <c r="D3" s="117"/>
      <c r="E3" s="117"/>
      <c r="F3" s="117">
        <v>1</v>
      </c>
      <c r="G3" s="117" t="s">
        <v>444</v>
      </c>
      <c r="H3" s="117" t="str">
        <f t="shared" si="0"/>
        <v>1 = Low</v>
      </c>
      <c r="I3" s="118">
        <v>1</v>
      </c>
    </row>
    <row r="4" spans="1:9" ht="15" customHeight="1" thickBot="1" x14ac:dyDescent="0.35">
      <c r="A4" s="119"/>
      <c r="B4" s="120"/>
      <c r="C4" s="120"/>
      <c r="D4" s="120"/>
      <c r="E4" s="120"/>
      <c r="F4" s="120">
        <v>2</v>
      </c>
      <c r="G4" s="120" t="s">
        <v>445</v>
      </c>
      <c r="H4" s="120" t="str">
        <f t="shared" si="0"/>
        <v>2 = High</v>
      </c>
      <c r="I4" s="121">
        <v>1</v>
      </c>
    </row>
    <row r="5" spans="1:9" ht="15" customHeight="1" x14ac:dyDescent="0.3">
      <c r="A5" s="114" t="s">
        <v>446</v>
      </c>
      <c r="B5" s="114" t="s">
        <v>446</v>
      </c>
      <c r="C5" s="114" t="s">
        <v>274</v>
      </c>
      <c r="D5" s="114" t="s">
        <v>447</v>
      </c>
      <c r="E5" s="114" t="s">
        <v>442</v>
      </c>
      <c r="F5" s="114">
        <v>0</v>
      </c>
      <c r="G5" s="114" t="s">
        <v>443</v>
      </c>
      <c r="H5" s="114" t="str">
        <f t="shared" si="0"/>
        <v>0 = None</v>
      </c>
      <c r="I5" s="115">
        <v>1</v>
      </c>
    </row>
    <row r="6" spans="1:9" ht="15" customHeight="1" x14ac:dyDescent="0.3">
      <c r="A6" s="116"/>
      <c r="B6" s="117"/>
      <c r="C6" s="117"/>
      <c r="D6" s="117"/>
      <c r="E6" s="117"/>
      <c r="F6" s="117">
        <v>1</v>
      </c>
      <c r="G6" s="117" t="s">
        <v>444</v>
      </c>
      <c r="H6" s="117" t="str">
        <f t="shared" si="0"/>
        <v>1 = Low</v>
      </c>
      <c r="I6" s="118">
        <v>1</v>
      </c>
    </row>
    <row r="7" spans="1:9" ht="15" customHeight="1" thickBot="1" x14ac:dyDescent="0.35">
      <c r="A7" s="119"/>
      <c r="B7" s="120"/>
      <c r="C7" s="120"/>
      <c r="D7" s="120"/>
      <c r="E7" s="120"/>
      <c r="F7" s="120">
        <v>2</v>
      </c>
      <c r="G7" s="120" t="s">
        <v>445</v>
      </c>
      <c r="H7" s="120" t="str">
        <f t="shared" si="0"/>
        <v>2 = High</v>
      </c>
      <c r="I7" s="121">
        <v>1</v>
      </c>
    </row>
    <row r="8" spans="1:9" ht="15" customHeight="1" x14ac:dyDescent="0.3">
      <c r="A8" s="114" t="s">
        <v>448</v>
      </c>
      <c r="B8" s="114" t="s">
        <v>448</v>
      </c>
      <c r="C8" s="114" t="s">
        <v>275</v>
      </c>
      <c r="D8" s="114" t="s">
        <v>449</v>
      </c>
      <c r="E8" s="114" t="s">
        <v>442</v>
      </c>
      <c r="F8" s="114">
        <v>0</v>
      </c>
      <c r="G8" s="114" t="s">
        <v>443</v>
      </c>
      <c r="H8" s="114" t="str">
        <f t="shared" si="0"/>
        <v>0 = None</v>
      </c>
      <c r="I8" s="115">
        <v>0</v>
      </c>
    </row>
    <row r="9" spans="1:9" ht="15" customHeight="1" x14ac:dyDescent="0.3">
      <c r="A9" s="116"/>
      <c r="B9" s="117"/>
      <c r="C9" s="117"/>
      <c r="D9" s="117"/>
      <c r="E9" s="117"/>
      <c r="F9" s="117">
        <v>1</v>
      </c>
      <c r="G9" s="117" t="s">
        <v>444</v>
      </c>
      <c r="H9" s="117" t="str">
        <f t="shared" si="0"/>
        <v>1 = Low</v>
      </c>
      <c r="I9" s="118">
        <v>0</v>
      </c>
    </row>
    <row r="10" spans="1:9" ht="15" customHeight="1" thickBot="1" x14ac:dyDescent="0.35">
      <c r="A10" s="119"/>
      <c r="B10" s="120"/>
      <c r="C10" s="120"/>
      <c r="D10" s="120"/>
      <c r="E10" s="120"/>
      <c r="F10" s="120">
        <v>2</v>
      </c>
      <c r="G10" s="120" t="s">
        <v>445</v>
      </c>
      <c r="H10" s="120" t="str">
        <f t="shared" si="0"/>
        <v>2 = High</v>
      </c>
      <c r="I10" s="121">
        <v>0</v>
      </c>
    </row>
    <row r="11" spans="1:9" ht="15" customHeight="1" x14ac:dyDescent="0.3">
      <c r="A11" s="114" t="s">
        <v>450</v>
      </c>
      <c r="B11" s="114" t="s">
        <v>450</v>
      </c>
      <c r="C11" s="114" t="s">
        <v>451</v>
      </c>
      <c r="D11" s="114" t="s">
        <v>452</v>
      </c>
      <c r="E11" s="114" t="s">
        <v>442</v>
      </c>
      <c r="F11" s="114">
        <v>0</v>
      </c>
      <c r="G11" s="114" t="s">
        <v>443</v>
      </c>
      <c r="H11" s="114" t="str">
        <f t="shared" si="0"/>
        <v>0 = None</v>
      </c>
      <c r="I11" s="115">
        <v>1</v>
      </c>
    </row>
    <row r="12" spans="1:9" ht="15" customHeight="1" x14ac:dyDescent="0.3">
      <c r="A12" s="116"/>
      <c r="B12" s="117"/>
      <c r="C12" s="117"/>
      <c r="D12" s="117"/>
      <c r="E12" s="117"/>
      <c r="F12" s="117">
        <v>1</v>
      </c>
      <c r="G12" s="117" t="s">
        <v>444</v>
      </c>
      <c r="H12" s="117" t="str">
        <f t="shared" si="0"/>
        <v>1 = Low</v>
      </c>
      <c r="I12" s="118">
        <v>1</v>
      </c>
    </row>
    <row r="13" spans="1:9" ht="15" customHeight="1" thickBot="1" x14ac:dyDescent="0.35">
      <c r="A13" s="119"/>
      <c r="B13" s="120"/>
      <c r="C13" s="120"/>
      <c r="D13" s="120"/>
      <c r="E13" s="120"/>
      <c r="F13" s="120">
        <v>2</v>
      </c>
      <c r="G13" s="120" t="s">
        <v>445</v>
      </c>
      <c r="H13" s="120" t="str">
        <f t="shared" si="0"/>
        <v>2 = High</v>
      </c>
      <c r="I13" s="121">
        <v>1</v>
      </c>
    </row>
    <row r="14" spans="1:9" ht="15" customHeight="1" x14ac:dyDescent="0.3">
      <c r="A14" s="114" t="s">
        <v>453</v>
      </c>
      <c r="B14" s="114" t="s">
        <v>453</v>
      </c>
      <c r="C14" s="114" t="s">
        <v>276</v>
      </c>
      <c r="D14" s="114" t="s">
        <v>454</v>
      </c>
      <c r="E14" s="114" t="s">
        <v>442</v>
      </c>
      <c r="F14" s="114">
        <v>0</v>
      </c>
      <c r="G14" s="114" t="s">
        <v>455</v>
      </c>
      <c r="H14" s="114" t="str">
        <f t="shared" si="0"/>
        <v>0 = Right-wing</v>
      </c>
      <c r="I14" s="115">
        <v>0</v>
      </c>
    </row>
    <row r="15" spans="1:9" ht="15" customHeight="1" x14ac:dyDescent="0.3">
      <c r="A15" s="116"/>
      <c r="B15" s="117"/>
      <c r="C15" s="117"/>
      <c r="D15" s="117"/>
      <c r="E15" s="117"/>
      <c r="F15" s="117">
        <v>1</v>
      </c>
      <c r="G15" s="117" t="s">
        <v>202</v>
      </c>
      <c r="H15" s="117" t="str">
        <f t="shared" si="0"/>
        <v>1 = Neutral</v>
      </c>
      <c r="I15" s="118">
        <v>0</v>
      </c>
    </row>
    <row r="16" spans="1:9" ht="15" customHeight="1" thickBot="1" x14ac:dyDescent="0.35">
      <c r="A16" s="119"/>
      <c r="B16" s="120"/>
      <c r="C16" s="120"/>
      <c r="D16" s="120"/>
      <c r="E16" s="120"/>
      <c r="F16" s="120">
        <v>2</v>
      </c>
      <c r="G16" s="120" t="s">
        <v>456</v>
      </c>
      <c r="H16" s="120" t="str">
        <f t="shared" si="0"/>
        <v>2 = Left-wing</v>
      </c>
      <c r="I16" s="121">
        <v>0</v>
      </c>
    </row>
    <row r="17" spans="1:9" ht="15" customHeight="1" thickBot="1" x14ac:dyDescent="0.35">
      <c r="A17" s="114" t="s">
        <v>457</v>
      </c>
      <c r="B17" s="114" t="s">
        <v>457</v>
      </c>
      <c r="C17" s="104" t="s">
        <v>277</v>
      </c>
      <c r="D17" s="104" t="s">
        <v>458</v>
      </c>
      <c r="E17" s="104" t="s">
        <v>442</v>
      </c>
      <c r="F17" s="104">
        <v>1</v>
      </c>
      <c r="G17" s="104">
        <v>1</v>
      </c>
      <c r="H17" s="104" t="str">
        <f t="shared" si="0"/>
        <v>1 = 1</v>
      </c>
      <c r="I17" s="106">
        <v>0</v>
      </c>
    </row>
    <row r="18" spans="1:9" ht="15" customHeight="1" x14ac:dyDescent="0.3">
      <c r="A18" s="114" t="s">
        <v>460</v>
      </c>
      <c r="B18" s="114" t="s">
        <v>460</v>
      </c>
      <c r="C18" s="114" t="s">
        <v>461</v>
      </c>
      <c r="D18" s="114" t="s">
        <v>462</v>
      </c>
      <c r="E18" s="114" t="s">
        <v>442</v>
      </c>
      <c r="F18" s="114">
        <v>0</v>
      </c>
      <c r="G18" s="114" t="s">
        <v>443</v>
      </c>
      <c r="H18" s="114" t="str">
        <f t="shared" si="0"/>
        <v>0 = None</v>
      </c>
      <c r="I18" s="115">
        <v>0</v>
      </c>
    </row>
    <row r="19" spans="1:9" ht="15" customHeight="1" x14ac:dyDescent="0.3">
      <c r="A19" s="116"/>
      <c r="B19" s="117"/>
      <c r="C19" s="117"/>
      <c r="D19" s="117"/>
      <c r="E19" s="117"/>
      <c r="F19" s="117">
        <v>1</v>
      </c>
      <c r="G19" s="117" t="s">
        <v>444</v>
      </c>
      <c r="H19" s="117" t="str">
        <f t="shared" si="0"/>
        <v>1 = Low</v>
      </c>
      <c r="I19" s="118">
        <v>0</v>
      </c>
    </row>
    <row r="20" spans="1:9" ht="15" customHeight="1" thickBot="1" x14ac:dyDescent="0.35">
      <c r="A20" s="119"/>
      <c r="B20" s="120"/>
      <c r="C20" s="120"/>
      <c r="D20" s="120"/>
      <c r="E20" s="120"/>
      <c r="F20" s="120">
        <v>2</v>
      </c>
      <c r="G20" s="120" t="s">
        <v>445</v>
      </c>
      <c r="H20" s="120" t="str">
        <f t="shared" si="0"/>
        <v>2 = High</v>
      </c>
      <c r="I20" s="121">
        <v>0</v>
      </c>
    </row>
    <row r="21" spans="1:9" ht="15" customHeight="1" x14ac:dyDescent="0.3">
      <c r="A21" s="114" t="s">
        <v>463</v>
      </c>
      <c r="B21" s="114" t="s">
        <v>463</v>
      </c>
      <c r="C21" s="114" t="s">
        <v>464</v>
      </c>
      <c r="D21" s="114" t="s">
        <v>465</v>
      </c>
      <c r="E21" s="114" t="s">
        <v>442</v>
      </c>
      <c r="F21" s="114">
        <v>0</v>
      </c>
      <c r="G21" s="114" t="s">
        <v>443</v>
      </c>
      <c r="H21" s="114" t="str">
        <f t="shared" si="0"/>
        <v>0 = None</v>
      </c>
      <c r="I21" s="115">
        <v>1</v>
      </c>
    </row>
    <row r="22" spans="1:9" ht="15" customHeight="1" x14ac:dyDescent="0.3">
      <c r="A22" s="116"/>
      <c r="B22" s="117"/>
      <c r="C22" s="117"/>
      <c r="D22" s="117"/>
      <c r="E22" s="117"/>
      <c r="F22" s="117">
        <v>1</v>
      </c>
      <c r="G22" s="117" t="s">
        <v>444</v>
      </c>
      <c r="H22" s="117" t="str">
        <f t="shared" si="0"/>
        <v>1 = Low</v>
      </c>
      <c r="I22" s="118">
        <v>1</v>
      </c>
    </row>
    <row r="23" spans="1:9" s="124" customFormat="1" ht="15" customHeight="1" thickBot="1" x14ac:dyDescent="0.35">
      <c r="A23" s="119"/>
      <c r="B23" s="120"/>
      <c r="C23" s="120"/>
      <c r="D23" s="120"/>
      <c r="E23" s="120"/>
      <c r="F23" s="120">
        <v>2</v>
      </c>
      <c r="G23" s="120" t="s">
        <v>445</v>
      </c>
      <c r="H23" s="120" t="str">
        <f t="shared" si="0"/>
        <v>2 = High</v>
      </c>
      <c r="I23" s="121">
        <v>1</v>
      </c>
    </row>
    <row r="24" spans="1:9" s="124" customFormat="1" ht="15" customHeight="1" x14ac:dyDescent="0.3">
      <c r="A24" s="114" t="s">
        <v>466</v>
      </c>
      <c r="B24" s="114" t="s">
        <v>466</v>
      </c>
      <c r="C24" s="114" t="s">
        <v>278</v>
      </c>
      <c r="D24" s="114" t="s">
        <v>467</v>
      </c>
      <c r="E24" s="114" t="s">
        <v>442</v>
      </c>
      <c r="F24" s="114">
        <v>0</v>
      </c>
      <c r="G24" s="114" t="s">
        <v>468</v>
      </c>
      <c r="H24" s="114" t="str">
        <f t="shared" si="0"/>
        <v>0 = Negative</v>
      </c>
      <c r="I24" s="115">
        <v>0</v>
      </c>
    </row>
    <row r="25" spans="1:9" ht="15" customHeight="1" x14ac:dyDescent="0.3">
      <c r="A25" s="116"/>
      <c r="B25" s="117"/>
      <c r="C25" s="117"/>
      <c r="D25" s="117"/>
      <c r="E25" s="117"/>
      <c r="F25" s="117">
        <v>1</v>
      </c>
      <c r="G25" s="117" t="s">
        <v>202</v>
      </c>
      <c r="H25" s="117" t="str">
        <f t="shared" si="0"/>
        <v>1 = Neutral</v>
      </c>
      <c r="I25" s="118">
        <v>0</v>
      </c>
    </row>
    <row r="26" spans="1:9" ht="15" customHeight="1" thickBot="1" x14ac:dyDescent="0.35">
      <c r="A26" s="119"/>
      <c r="B26" s="120"/>
      <c r="C26" s="120"/>
      <c r="D26" s="120"/>
      <c r="E26" s="120"/>
      <c r="F26" s="120">
        <v>2</v>
      </c>
      <c r="G26" s="120" t="s">
        <v>469</v>
      </c>
      <c r="H26" s="120" t="str">
        <f t="shared" si="0"/>
        <v>2 = Positive</v>
      </c>
      <c r="I26" s="121">
        <v>0</v>
      </c>
    </row>
    <row r="27" spans="1:9" ht="15" customHeight="1" x14ac:dyDescent="0.3">
      <c r="A27" s="114" t="s">
        <v>470</v>
      </c>
      <c r="B27" s="114" t="s">
        <v>470</v>
      </c>
      <c r="C27" s="114" t="s">
        <v>279</v>
      </c>
      <c r="D27" s="114" t="s">
        <v>471</v>
      </c>
      <c r="E27" s="114" t="s">
        <v>442</v>
      </c>
      <c r="F27" s="114">
        <v>0</v>
      </c>
      <c r="G27" s="114" t="s">
        <v>443</v>
      </c>
      <c r="H27" s="114" t="str">
        <f t="shared" si="0"/>
        <v>0 = None</v>
      </c>
      <c r="I27" s="115">
        <v>0</v>
      </c>
    </row>
    <row r="28" spans="1:9" ht="15" customHeight="1" x14ac:dyDescent="0.3">
      <c r="A28" s="116"/>
      <c r="B28" s="117"/>
      <c r="C28" s="117"/>
      <c r="D28" s="117"/>
      <c r="E28" s="117"/>
      <c r="F28" s="117">
        <v>1</v>
      </c>
      <c r="G28" s="117" t="s">
        <v>472</v>
      </c>
      <c r="H28" s="117" t="str">
        <f t="shared" si="0"/>
        <v>1 = Occasional</v>
      </c>
      <c r="I28" s="118">
        <v>0</v>
      </c>
    </row>
    <row r="29" spans="1:9" ht="15" customHeight="1" thickBot="1" x14ac:dyDescent="0.35">
      <c r="A29" s="119"/>
      <c r="B29" s="120"/>
      <c r="C29" s="120"/>
      <c r="D29" s="120"/>
      <c r="E29" s="120"/>
      <c r="F29" s="120">
        <v>2</v>
      </c>
      <c r="G29" s="120" t="s">
        <v>473</v>
      </c>
      <c r="H29" s="120" t="str">
        <f t="shared" si="0"/>
        <v>2 = Strong</v>
      </c>
      <c r="I29" s="121">
        <v>0</v>
      </c>
    </row>
    <row r="30" spans="1:9" ht="15" customHeight="1" x14ac:dyDescent="0.3">
      <c r="A30" s="114" t="s">
        <v>474</v>
      </c>
      <c r="B30" s="114" t="s">
        <v>474</v>
      </c>
      <c r="C30" s="114" t="s">
        <v>475</v>
      </c>
      <c r="D30" s="114" t="s">
        <v>476</v>
      </c>
      <c r="E30" s="114" t="s">
        <v>442</v>
      </c>
      <c r="F30" s="114">
        <v>0</v>
      </c>
      <c r="G30" s="114" t="s">
        <v>443</v>
      </c>
      <c r="H30" s="114" t="str">
        <f t="shared" si="0"/>
        <v>0 = None</v>
      </c>
      <c r="I30" s="115">
        <v>0</v>
      </c>
    </row>
    <row r="31" spans="1:9" ht="15" customHeight="1" x14ac:dyDescent="0.3">
      <c r="A31" s="116"/>
      <c r="B31" s="117"/>
      <c r="C31" s="117"/>
      <c r="D31" s="117"/>
      <c r="E31" s="117"/>
      <c r="F31" s="117">
        <v>1</v>
      </c>
      <c r="G31" s="117" t="s">
        <v>444</v>
      </c>
      <c r="H31" s="117" t="str">
        <f t="shared" si="0"/>
        <v>1 = Low</v>
      </c>
      <c r="I31" s="118">
        <v>0</v>
      </c>
    </row>
    <row r="32" spans="1:9" ht="15" customHeight="1" thickBot="1" x14ac:dyDescent="0.35">
      <c r="A32" s="119"/>
      <c r="B32" s="120"/>
      <c r="C32" s="120"/>
      <c r="D32" s="120"/>
      <c r="E32" s="120"/>
      <c r="F32" s="120">
        <v>2</v>
      </c>
      <c r="G32" s="120" t="s">
        <v>445</v>
      </c>
      <c r="H32" s="120" t="str">
        <f t="shared" si="0"/>
        <v>2 = High</v>
      </c>
      <c r="I32" s="121">
        <v>0</v>
      </c>
    </row>
    <row r="33" spans="1:9" ht="15" customHeight="1" x14ac:dyDescent="0.3">
      <c r="A33" s="114" t="s">
        <v>477</v>
      </c>
      <c r="B33" s="114" t="s">
        <v>477</v>
      </c>
      <c r="C33" s="114" t="s">
        <v>478</v>
      </c>
      <c r="D33" s="114" t="s">
        <v>479</v>
      </c>
      <c r="E33" s="114" t="s">
        <v>442</v>
      </c>
      <c r="F33" s="114">
        <v>0</v>
      </c>
      <c r="G33" s="114" t="s">
        <v>443</v>
      </c>
      <c r="H33" s="114" t="str">
        <f t="shared" si="0"/>
        <v>0 = None</v>
      </c>
      <c r="I33" s="115">
        <v>0</v>
      </c>
    </row>
    <row r="34" spans="1:9" ht="15" customHeight="1" x14ac:dyDescent="0.3">
      <c r="A34" s="116"/>
      <c r="B34" s="117"/>
      <c r="C34" s="117"/>
      <c r="D34" s="117"/>
      <c r="E34" s="117"/>
      <c r="F34" s="117">
        <v>1</v>
      </c>
      <c r="G34" s="117" t="s">
        <v>444</v>
      </c>
      <c r="H34" s="117" t="str">
        <f t="shared" ref="H34:H69" si="1">_xlfn.CONCAT(F34," = ",G34)</f>
        <v>1 = Low</v>
      </c>
      <c r="I34" s="118">
        <v>0</v>
      </c>
    </row>
    <row r="35" spans="1:9" ht="15" customHeight="1" thickBot="1" x14ac:dyDescent="0.35">
      <c r="A35" s="119"/>
      <c r="B35" s="120"/>
      <c r="C35" s="120"/>
      <c r="D35" s="120"/>
      <c r="E35" s="120"/>
      <c r="F35" s="120">
        <v>2</v>
      </c>
      <c r="G35" s="120" t="s">
        <v>445</v>
      </c>
      <c r="H35" s="120" t="str">
        <f t="shared" si="1"/>
        <v>2 = High</v>
      </c>
      <c r="I35" s="121">
        <v>0</v>
      </c>
    </row>
    <row r="36" spans="1:9" ht="15" customHeight="1" x14ac:dyDescent="0.3">
      <c r="A36" s="114" t="s">
        <v>480</v>
      </c>
      <c r="B36" s="114" t="s">
        <v>480</v>
      </c>
      <c r="C36" s="114" t="s">
        <v>481</v>
      </c>
      <c r="D36" s="114" t="s">
        <v>482</v>
      </c>
      <c r="E36" s="114" t="s">
        <v>442</v>
      </c>
      <c r="F36" s="114">
        <v>0</v>
      </c>
      <c r="G36" s="114" t="s">
        <v>443</v>
      </c>
      <c r="H36" s="114" t="str">
        <f t="shared" si="1"/>
        <v>0 = None</v>
      </c>
      <c r="I36" s="115">
        <v>0</v>
      </c>
    </row>
    <row r="37" spans="1:9" ht="15" customHeight="1" x14ac:dyDescent="0.3">
      <c r="A37" s="116"/>
      <c r="B37" s="117"/>
      <c r="C37" s="117"/>
      <c r="D37" s="117"/>
      <c r="E37" s="117"/>
      <c r="F37" s="117">
        <v>1</v>
      </c>
      <c r="G37" s="117" t="s">
        <v>444</v>
      </c>
      <c r="H37" s="117" t="str">
        <f t="shared" si="1"/>
        <v>1 = Low</v>
      </c>
      <c r="I37" s="118">
        <v>0</v>
      </c>
    </row>
    <row r="38" spans="1:9" ht="15" customHeight="1" thickBot="1" x14ac:dyDescent="0.35">
      <c r="A38" s="119"/>
      <c r="B38" s="120"/>
      <c r="C38" s="120"/>
      <c r="D38" s="120"/>
      <c r="E38" s="120"/>
      <c r="F38" s="120">
        <v>2</v>
      </c>
      <c r="G38" s="120" t="s">
        <v>445</v>
      </c>
      <c r="H38" s="120" t="str">
        <f t="shared" si="1"/>
        <v>2 = High</v>
      </c>
      <c r="I38" s="121">
        <v>0</v>
      </c>
    </row>
    <row r="39" spans="1:9" ht="15" customHeight="1" x14ac:dyDescent="0.3">
      <c r="A39" s="114" t="s">
        <v>483</v>
      </c>
      <c r="B39" s="114" t="s">
        <v>483</v>
      </c>
      <c r="C39" s="114" t="s">
        <v>484</v>
      </c>
      <c r="D39" s="114" t="s">
        <v>485</v>
      </c>
      <c r="E39" s="114" t="s">
        <v>442</v>
      </c>
      <c r="F39" s="114">
        <v>0</v>
      </c>
      <c r="G39" s="114" t="s">
        <v>443</v>
      </c>
      <c r="H39" s="114" t="str">
        <f t="shared" si="1"/>
        <v>0 = None</v>
      </c>
      <c r="I39" s="115">
        <v>0</v>
      </c>
    </row>
    <row r="40" spans="1:9" ht="15" customHeight="1" x14ac:dyDescent="0.3">
      <c r="A40" s="116"/>
      <c r="B40" s="117"/>
      <c r="C40" s="117"/>
      <c r="D40" s="117"/>
      <c r="E40" s="117"/>
      <c r="F40" s="117">
        <v>1</v>
      </c>
      <c r="G40" s="117" t="s">
        <v>444</v>
      </c>
      <c r="H40" s="117" t="str">
        <f t="shared" si="1"/>
        <v>1 = Low</v>
      </c>
      <c r="I40" s="118">
        <v>0</v>
      </c>
    </row>
    <row r="41" spans="1:9" ht="15" customHeight="1" thickBot="1" x14ac:dyDescent="0.35">
      <c r="A41" s="119"/>
      <c r="B41" s="120"/>
      <c r="C41" s="120"/>
      <c r="D41" s="120"/>
      <c r="E41" s="120"/>
      <c r="F41" s="120">
        <v>2</v>
      </c>
      <c r="G41" s="120" t="s">
        <v>445</v>
      </c>
      <c r="H41" s="120" t="str">
        <f t="shared" si="1"/>
        <v>2 = High</v>
      </c>
      <c r="I41" s="121">
        <v>0</v>
      </c>
    </row>
    <row r="42" spans="1:9" ht="15" customHeight="1" x14ac:dyDescent="0.3">
      <c r="A42" s="114" t="s">
        <v>486</v>
      </c>
      <c r="B42" s="114" t="s">
        <v>486</v>
      </c>
      <c r="C42" s="114" t="s">
        <v>487</v>
      </c>
      <c r="D42" s="114" t="s">
        <v>488</v>
      </c>
      <c r="E42" s="114" t="s">
        <v>442</v>
      </c>
      <c r="F42" s="114">
        <v>0</v>
      </c>
      <c r="G42" s="114" t="s">
        <v>443</v>
      </c>
      <c r="H42" s="114" t="str">
        <f t="shared" si="1"/>
        <v>0 = None</v>
      </c>
      <c r="I42" s="115">
        <v>0</v>
      </c>
    </row>
    <row r="43" spans="1:9" ht="15" customHeight="1" x14ac:dyDescent="0.3">
      <c r="A43" s="116"/>
      <c r="B43" s="117"/>
      <c r="C43" s="117"/>
      <c r="D43" s="117"/>
      <c r="E43" s="117"/>
      <c r="F43" s="117">
        <v>1</v>
      </c>
      <c r="G43" s="117" t="s">
        <v>444</v>
      </c>
      <c r="H43" s="117" t="str">
        <f t="shared" si="1"/>
        <v>1 = Low</v>
      </c>
      <c r="I43" s="118">
        <v>0</v>
      </c>
    </row>
    <row r="44" spans="1:9" ht="15" customHeight="1" thickBot="1" x14ac:dyDescent="0.35">
      <c r="A44" s="119"/>
      <c r="B44" s="120"/>
      <c r="C44" s="120"/>
      <c r="D44" s="120"/>
      <c r="E44" s="120"/>
      <c r="F44" s="120">
        <v>2</v>
      </c>
      <c r="G44" s="120" t="s">
        <v>445</v>
      </c>
      <c r="H44" s="120" t="str">
        <f t="shared" si="1"/>
        <v>2 = High</v>
      </c>
      <c r="I44" s="121">
        <v>0</v>
      </c>
    </row>
    <row r="45" spans="1:9" ht="15" customHeight="1" x14ac:dyDescent="0.3">
      <c r="A45" s="114" t="s">
        <v>489</v>
      </c>
      <c r="B45" s="114" t="s">
        <v>489</v>
      </c>
      <c r="C45" s="114" t="s">
        <v>490</v>
      </c>
      <c r="D45" s="114" t="s">
        <v>491</v>
      </c>
      <c r="E45" s="114" t="s">
        <v>442</v>
      </c>
      <c r="F45" s="114">
        <v>0</v>
      </c>
      <c r="G45" s="114" t="s">
        <v>443</v>
      </c>
      <c r="H45" s="114" t="str">
        <f t="shared" si="1"/>
        <v>0 = None</v>
      </c>
      <c r="I45" s="115">
        <v>0</v>
      </c>
    </row>
    <row r="46" spans="1:9" ht="15" customHeight="1" x14ac:dyDescent="0.3">
      <c r="A46" s="116"/>
      <c r="B46" s="117"/>
      <c r="C46" s="117"/>
      <c r="D46" s="117"/>
      <c r="E46" s="117"/>
      <c r="F46" s="117">
        <v>1</v>
      </c>
      <c r="G46" s="117" t="s">
        <v>444</v>
      </c>
      <c r="H46" s="117" t="str">
        <f t="shared" si="1"/>
        <v>1 = Low</v>
      </c>
      <c r="I46" s="118">
        <v>0</v>
      </c>
    </row>
    <row r="47" spans="1:9" ht="15" customHeight="1" thickBot="1" x14ac:dyDescent="0.35">
      <c r="A47" s="119"/>
      <c r="B47" s="120"/>
      <c r="C47" s="120"/>
      <c r="D47" s="120"/>
      <c r="E47" s="120"/>
      <c r="F47" s="120">
        <v>2</v>
      </c>
      <c r="G47" s="120" t="s">
        <v>445</v>
      </c>
      <c r="H47" s="120" t="str">
        <f t="shared" si="1"/>
        <v>2 = High</v>
      </c>
      <c r="I47" s="121">
        <v>0</v>
      </c>
    </row>
    <row r="48" spans="1:9" ht="15" customHeight="1" x14ac:dyDescent="0.3">
      <c r="A48" s="114" t="s">
        <v>492</v>
      </c>
      <c r="B48" s="114" t="s">
        <v>492</v>
      </c>
      <c r="C48" s="122" t="s">
        <v>493</v>
      </c>
      <c r="D48" s="114" t="s">
        <v>494</v>
      </c>
      <c r="E48" s="114" t="s">
        <v>442</v>
      </c>
      <c r="F48" s="114">
        <v>-1</v>
      </c>
      <c r="G48" s="114" t="s">
        <v>495</v>
      </c>
      <c r="H48" s="114" t="str">
        <f t="shared" si="1"/>
        <v>-1 = No info</v>
      </c>
      <c r="I48" s="115">
        <v>0</v>
      </c>
    </row>
    <row r="49" spans="1:9" ht="15" customHeight="1" x14ac:dyDescent="0.3">
      <c r="A49" s="116"/>
      <c r="B49" s="117"/>
      <c r="C49" s="117"/>
      <c r="D49" s="117"/>
      <c r="E49" s="117"/>
      <c r="F49" s="117">
        <v>0</v>
      </c>
      <c r="G49" s="117" t="s">
        <v>496</v>
      </c>
      <c r="H49" s="117" t="str">
        <f t="shared" si="1"/>
        <v>0 = None/Low</v>
      </c>
      <c r="I49" s="118">
        <v>0</v>
      </c>
    </row>
    <row r="50" spans="1:9" ht="15" customHeight="1" x14ac:dyDescent="0.3">
      <c r="A50" s="116"/>
      <c r="B50" s="117"/>
      <c r="C50" s="117"/>
      <c r="D50" s="117"/>
      <c r="E50" s="117"/>
      <c r="F50" s="117">
        <v>1</v>
      </c>
      <c r="G50" s="117" t="s">
        <v>497</v>
      </c>
      <c r="H50" s="117" t="str">
        <f t="shared" si="1"/>
        <v>1 = Moderate</v>
      </c>
      <c r="I50" s="118">
        <v>0</v>
      </c>
    </row>
    <row r="51" spans="1:9" ht="15" customHeight="1" thickBot="1" x14ac:dyDescent="0.35">
      <c r="A51" s="119"/>
      <c r="B51" s="120"/>
      <c r="C51" s="120"/>
      <c r="D51" s="120"/>
      <c r="E51" s="120"/>
      <c r="F51" s="120">
        <v>2</v>
      </c>
      <c r="G51" s="120" t="s">
        <v>473</v>
      </c>
      <c r="H51" s="120" t="str">
        <f t="shared" si="1"/>
        <v>2 = Strong</v>
      </c>
      <c r="I51" s="121">
        <v>0</v>
      </c>
    </row>
    <row r="52" spans="1:9" ht="15" customHeight="1" x14ac:dyDescent="0.3">
      <c r="A52" s="114" t="s">
        <v>498</v>
      </c>
      <c r="B52" s="114" t="s">
        <v>498</v>
      </c>
      <c r="C52" s="122" t="s">
        <v>499</v>
      </c>
      <c r="D52" s="114" t="s">
        <v>500</v>
      </c>
      <c r="E52" s="114" t="s">
        <v>442</v>
      </c>
      <c r="F52" s="114">
        <v>-1</v>
      </c>
      <c r="G52" s="114" t="s">
        <v>495</v>
      </c>
      <c r="H52" s="114" t="str">
        <f t="shared" si="1"/>
        <v>-1 = No info</v>
      </c>
      <c r="I52" s="115">
        <v>0</v>
      </c>
    </row>
    <row r="53" spans="1:9" ht="15" customHeight="1" x14ac:dyDescent="0.3">
      <c r="A53" s="116"/>
      <c r="B53" s="117"/>
      <c r="C53" s="117"/>
      <c r="D53" s="117"/>
      <c r="E53" s="117"/>
      <c r="F53" s="117">
        <v>0</v>
      </c>
      <c r="G53" s="117" t="s">
        <v>496</v>
      </c>
      <c r="H53" s="117" t="str">
        <f t="shared" si="1"/>
        <v>0 = None/Low</v>
      </c>
      <c r="I53" s="118">
        <v>0</v>
      </c>
    </row>
    <row r="54" spans="1:9" ht="15" customHeight="1" x14ac:dyDescent="0.3">
      <c r="A54" s="116"/>
      <c r="B54" s="117"/>
      <c r="C54" s="117"/>
      <c r="D54" s="117"/>
      <c r="E54" s="117"/>
      <c r="F54" s="117">
        <v>1</v>
      </c>
      <c r="G54" s="117" t="s">
        <v>497</v>
      </c>
      <c r="H54" s="117" t="str">
        <f t="shared" si="1"/>
        <v>1 = Moderate</v>
      </c>
      <c r="I54" s="118">
        <v>0</v>
      </c>
    </row>
    <row r="55" spans="1:9" ht="15" customHeight="1" thickBot="1" x14ac:dyDescent="0.35">
      <c r="A55" s="119"/>
      <c r="B55" s="120"/>
      <c r="C55" s="120"/>
      <c r="D55" s="120"/>
      <c r="E55" s="120"/>
      <c r="F55" s="120">
        <v>2</v>
      </c>
      <c r="G55" s="120" t="s">
        <v>473</v>
      </c>
      <c r="H55" s="120" t="str">
        <f t="shared" si="1"/>
        <v>2 = Strong</v>
      </c>
      <c r="I55" s="121">
        <v>0</v>
      </c>
    </row>
    <row r="56" spans="1:9" ht="15" customHeight="1" x14ac:dyDescent="0.3">
      <c r="A56" s="114" t="s">
        <v>501</v>
      </c>
      <c r="B56" s="114" t="s">
        <v>501</v>
      </c>
      <c r="C56" s="114" t="s">
        <v>280</v>
      </c>
      <c r="D56" s="114" t="s">
        <v>502</v>
      </c>
      <c r="E56" s="114" t="s">
        <v>442</v>
      </c>
      <c r="F56" s="114">
        <v>0</v>
      </c>
      <c r="G56" s="114" t="s">
        <v>443</v>
      </c>
      <c r="H56" s="114" t="str">
        <f t="shared" si="1"/>
        <v>0 = None</v>
      </c>
      <c r="I56" s="115">
        <v>0</v>
      </c>
    </row>
    <row r="57" spans="1:9" ht="15" customHeight="1" x14ac:dyDescent="0.3">
      <c r="A57" s="116"/>
      <c r="B57" s="117"/>
      <c r="C57" s="117"/>
      <c r="D57" s="117"/>
      <c r="E57" s="117"/>
      <c r="F57" s="117">
        <v>1</v>
      </c>
      <c r="G57" s="117" t="s">
        <v>444</v>
      </c>
      <c r="H57" s="117" t="str">
        <f t="shared" si="1"/>
        <v>1 = Low</v>
      </c>
      <c r="I57" s="118">
        <v>0</v>
      </c>
    </row>
    <row r="58" spans="1:9" ht="15" customHeight="1" thickBot="1" x14ac:dyDescent="0.35">
      <c r="A58" s="119"/>
      <c r="B58" s="120"/>
      <c r="C58" s="120"/>
      <c r="D58" s="120"/>
      <c r="E58" s="120"/>
      <c r="F58" s="120">
        <v>2</v>
      </c>
      <c r="G58" s="120" t="s">
        <v>445</v>
      </c>
      <c r="H58" s="120" t="str">
        <f t="shared" si="1"/>
        <v>2 = High</v>
      </c>
      <c r="I58" s="121">
        <v>0</v>
      </c>
    </row>
    <row r="59" spans="1:9" ht="15" customHeight="1" x14ac:dyDescent="0.3">
      <c r="A59" s="114" t="s">
        <v>503</v>
      </c>
      <c r="B59" s="114" t="s">
        <v>503</v>
      </c>
      <c r="C59" s="122" t="s">
        <v>504</v>
      </c>
      <c r="D59" s="114" t="s">
        <v>505</v>
      </c>
      <c r="E59" s="114" t="s">
        <v>442</v>
      </c>
      <c r="F59" s="114">
        <v>0</v>
      </c>
      <c r="G59" s="114" t="s">
        <v>535</v>
      </c>
      <c r="H59" s="114" t="str">
        <f t="shared" si="1"/>
        <v>0 = Not meaningful/empty</v>
      </c>
      <c r="I59" s="115">
        <v>1</v>
      </c>
    </row>
    <row r="60" spans="1:9" ht="15" customHeight="1" thickBot="1" x14ac:dyDescent="0.35">
      <c r="A60" s="119"/>
      <c r="B60" s="120"/>
      <c r="C60" s="120"/>
      <c r="D60" s="120"/>
      <c r="E60" s="120"/>
      <c r="F60" s="120">
        <v>1</v>
      </c>
      <c r="G60" s="120" t="s">
        <v>506</v>
      </c>
      <c r="H60" s="120" t="str">
        <f t="shared" si="1"/>
        <v>1 = Meaningful</v>
      </c>
      <c r="I60" s="121">
        <v>1</v>
      </c>
    </row>
    <row r="61" spans="1:9" ht="15" customHeight="1" thickBot="1" x14ac:dyDescent="0.35">
      <c r="A61" s="104" t="s">
        <v>507</v>
      </c>
      <c r="B61" s="104" t="s">
        <v>507</v>
      </c>
      <c r="C61" s="104" t="s">
        <v>508</v>
      </c>
      <c r="D61" s="104" t="s">
        <v>509</v>
      </c>
      <c r="E61" s="104" t="s">
        <v>442</v>
      </c>
      <c r="F61" s="104">
        <v>0</v>
      </c>
      <c r="G61" s="104" t="s">
        <v>459</v>
      </c>
      <c r="H61" s="104" t="str">
        <f t="shared" si="1"/>
        <v>0 = No errors</v>
      </c>
      <c r="I61" s="106">
        <v>1</v>
      </c>
    </row>
    <row r="62" spans="1:9" ht="15" customHeight="1" x14ac:dyDescent="0.3">
      <c r="A62" s="113" t="s">
        <v>510</v>
      </c>
      <c r="B62" s="114" t="s">
        <v>510</v>
      </c>
      <c r="C62" s="114" t="s">
        <v>511</v>
      </c>
      <c r="D62" s="114" t="s">
        <v>512</v>
      </c>
      <c r="E62" s="114" t="s">
        <v>442</v>
      </c>
      <c r="F62" s="114">
        <v>0</v>
      </c>
      <c r="G62" s="114" t="s">
        <v>513</v>
      </c>
      <c r="H62" s="114" t="str">
        <f t="shared" si="1"/>
        <v>0 = Definitely not AI</v>
      </c>
      <c r="I62" s="115">
        <v>0</v>
      </c>
    </row>
    <row r="63" spans="1:9" ht="15" customHeight="1" x14ac:dyDescent="0.3">
      <c r="A63" s="116"/>
      <c r="B63" s="117"/>
      <c r="C63" s="117"/>
      <c r="D63" s="117"/>
      <c r="E63" s="117"/>
      <c r="F63" s="117">
        <v>1</v>
      </c>
      <c r="G63" s="117" t="s">
        <v>514</v>
      </c>
      <c r="H63" s="117" t="str">
        <f t="shared" si="1"/>
        <v>1 = Low chance</v>
      </c>
      <c r="I63" s="118">
        <v>0</v>
      </c>
    </row>
    <row r="64" spans="1:9" ht="15" customHeight="1" x14ac:dyDescent="0.3">
      <c r="A64" s="116"/>
      <c r="B64" s="117"/>
      <c r="C64" s="117"/>
      <c r="D64" s="117"/>
      <c r="E64" s="117"/>
      <c r="F64" s="117">
        <v>2</v>
      </c>
      <c r="G64" s="117" t="s">
        <v>515</v>
      </c>
      <c r="H64" s="117" t="str">
        <f t="shared" si="1"/>
        <v>2 = High chance</v>
      </c>
      <c r="I64" s="118">
        <v>0</v>
      </c>
    </row>
    <row r="65" spans="1:9" ht="15" customHeight="1" thickBot="1" x14ac:dyDescent="0.35">
      <c r="A65" s="116"/>
      <c r="B65" s="117"/>
      <c r="C65" s="117"/>
      <c r="D65" s="117"/>
      <c r="E65" s="117"/>
      <c r="F65" s="117">
        <v>3</v>
      </c>
      <c r="G65" s="117" t="s">
        <v>516</v>
      </c>
      <c r="H65" s="117" t="str">
        <f t="shared" si="1"/>
        <v>3 = Definitely AI</v>
      </c>
      <c r="I65" s="118">
        <v>0</v>
      </c>
    </row>
    <row r="66" spans="1:9" ht="15" customHeight="1" x14ac:dyDescent="0.3">
      <c r="A66" s="113" t="s">
        <v>526</v>
      </c>
      <c r="B66" s="114" t="s">
        <v>527</v>
      </c>
      <c r="C66" s="114"/>
      <c r="D66" s="114" t="s">
        <v>531</v>
      </c>
      <c r="E66" s="114"/>
      <c r="F66" s="114">
        <v>1</v>
      </c>
      <c r="G66" s="114" t="s">
        <v>528</v>
      </c>
      <c r="H66" s="114" t="str">
        <f t="shared" si="1"/>
        <v>1 = Fully AI Generated</v>
      </c>
      <c r="I66" s="115">
        <v>1</v>
      </c>
    </row>
    <row r="67" spans="1:9" ht="15" customHeight="1" x14ac:dyDescent="0.3">
      <c r="A67" s="116"/>
      <c r="B67" s="117"/>
      <c r="C67" s="117"/>
      <c r="D67" s="117"/>
      <c r="E67" s="117"/>
      <c r="F67" s="117">
        <v>2</v>
      </c>
      <c r="G67" s="117" t="s">
        <v>529</v>
      </c>
      <c r="H67" s="117" t="str">
        <f t="shared" si="1"/>
        <v>2 = AI Detected</v>
      </c>
      <c r="I67" s="118">
        <v>1</v>
      </c>
    </row>
    <row r="68" spans="1:9" ht="15" customHeight="1" x14ac:dyDescent="0.3">
      <c r="A68" s="116"/>
      <c r="B68" s="117"/>
      <c r="C68" s="117"/>
      <c r="D68" s="117"/>
      <c r="E68" s="117"/>
      <c r="F68" s="117">
        <v>3</v>
      </c>
      <c r="G68" s="117" t="s">
        <v>530</v>
      </c>
      <c r="H68" s="117" t="str">
        <f t="shared" si="1"/>
        <v>3 = AI Assisted</v>
      </c>
      <c r="I68" s="118">
        <v>1</v>
      </c>
    </row>
    <row r="69" spans="1:9" ht="15" customHeight="1" thickBot="1" x14ac:dyDescent="0.35">
      <c r="A69" s="119"/>
      <c r="B69" s="120"/>
      <c r="C69" s="120"/>
      <c r="D69" s="120"/>
      <c r="E69" s="120"/>
      <c r="F69" s="120">
        <v>4</v>
      </c>
      <c r="G69" s="120" t="s">
        <v>523</v>
      </c>
      <c r="H69" s="120" t="str">
        <f t="shared" si="1"/>
        <v>4 = Fully Human Written</v>
      </c>
      <c r="I69" s="121">
        <v>1</v>
      </c>
    </row>
    <row r="70" spans="1:9" ht="15" customHeight="1" thickBot="1" x14ac:dyDescent="0.35">
      <c r="A70" s="113" t="s">
        <v>520</v>
      </c>
      <c r="B70" s="114" t="s">
        <v>524</v>
      </c>
      <c r="C70" s="114"/>
      <c r="D70" s="114" t="s">
        <v>532</v>
      </c>
      <c r="E70" s="114"/>
      <c r="F70" s="114">
        <v>1</v>
      </c>
      <c r="G70" s="114">
        <v>1</v>
      </c>
      <c r="H70" s="114" t="str">
        <f>_xlfn.CONCAT(F70," = ",G70)</f>
        <v>1 = 1</v>
      </c>
      <c r="I70" s="115">
        <v>1</v>
      </c>
    </row>
    <row r="71" spans="1:9" ht="12.9" thickBot="1" x14ac:dyDescent="0.35">
      <c r="A71" s="103" t="s">
        <v>521</v>
      </c>
      <c r="B71" s="104" t="s">
        <v>525</v>
      </c>
      <c r="C71" s="104"/>
      <c r="D71" s="104" t="s">
        <v>534</v>
      </c>
      <c r="E71" s="104"/>
      <c r="F71" s="104">
        <v>1</v>
      </c>
      <c r="G71" s="104">
        <v>1</v>
      </c>
      <c r="H71" s="104" t="str">
        <f t="shared" ref="H71:H72" si="2">_xlfn.CONCAT(F71," = ",G71)</f>
        <v>1 = 1</v>
      </c>
      <c r="I71" s="106">
        <v>1</v>
      </c>
    </row>
    <row r="72" spans="1:9" ht="21.45" customHeight="1" thickBot="1" x14ac:dyDescent="0.35">
      <c r="A72" s="119" t="s">
        <v>522</v>
      </c>
      <c r="B72" s="120" t="s">
        <v>522</v>
      </c>
      <c r="C72" s="120"/>
      <c r="D72" s="114" t="s">
        <v>533</v>
      </c>
      <c r="E72" s="120"/>
      <c r="F72" s="120">
        <v>1</v>
      </c>
      <c r="G72" s="120">
        <v>1</v>
      </c>
      <c r="H72" s="120" t="str">
        <f t="shared" si="2"/>
        <v>1 = 1</v>
      </c>
      <c r="I72" s="12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7FBCC-03FD-4B11-BC9C-976F5E1F0D15}">
  <dimension ref="A1:D117"/>
  <sheetViews>
    <sheetView topLeftCell="A91" zoomScale="115" zoomScaleNormal="115" workbookViewId="0">
      <selection activeCell="C30" sqref="C30"/>
    </sheetView>
  </sheetViews>
  <sheetFormatPr defaultRowHeight="12.45" x14ac:dyDescent="0.3"/>
  <cols>
    <col min="1" max="1" width="25.3046875" customWidth="1"/>
    <col min="2" max="2" width="26" customWidth="1"/>
    <col min="3" max="3" width="78" customWidth="1"/>
    <col min="4" max="4" width="43.69140625" customWidth="1"/>
  </cols>
  <sheetData>
    <row r="1" spans="1:4" ht="27.45" customHeight="1" thickBot="1" x14ac:dyDescent="0.35">
      <c r="A1" s="25" t="s">
        <v>281</v>
      </c>
      <c r="B1" s="26" t="s">
        <v>282</v>
      </c>
      <c r="C1" s="27" t="s">
        <v>337</v>
      </c>
    </row>
    <row r="2" spans="1:4" ht="20.05" customHeight="1" x14ac:dyDescent="0.3">
      <c r="A2" s="28" t="s">
        <v>22</v>
      </c>
      <c r="B2" s="22" t="s">
        <v>22</v>
      </c>
      <c r="C2" s="22"/>
      <c r="D2" s="128" t="s">
        <v>350</v>
      </c>
    </row>
    <row r="3" spans="1:4" ht="20.05" customHeight="1" x14ac:dyDescent="0.3">
      <c r="A3" s="29" t="s">
        <v>283</v>
      </c>
      <c r="B3" s="23" t="s">
        <v>353</v>
      </c>
      <c r="C3" s="23"/>
      <c r="D3" s="126"/>
    </row>
    <row r="4" spans="1:4" ht="20.05" customHeight="1" x14ac:dyDescent="0.3">
      <c r="A4" s="29" t="s">
        <v>284</v>
      </c>
      <c r="B4" s="23" t="s">
        <v>354</v>
      </c>
      <c r="C4" s="23"/>
      <c r="D4" s="126"/>
    </row>
    <row r="5" spans="1:4" ht="20.05" customHeight="1" x14ac:dyDescent="0.3">
      <c r="A5" s="29" t="s">
        <v>35</v>
      </c>
      <c r="B5" s="23" t="s">
        <v>35</v>
      </c>
      <c r="C5" s="23"/>
      <c r="D5" s="126"/>
    </row>
    <row r="6" spans="1:4" ht="20.05" customHeight="1" x14ac:dyDescent="0.3">
      <c r="A6" s="29" t="s">
        <v>29</v>
      </c>
      <c r="B6" s="23" t="s">
        <v>543</v>
      </c>
      <c r="C6" s="23"/>
      <c r="D6" s="126"/>
    </row>
    <row r="7" spans="1:4" ht="20.05" customHeight="1" x14ac:dyDescent="0.3">
      <c r="A7" s="29" t="s">
        <v>285</v>
      </c>
      <c r="B7" s="23" t="s">
        <v>286</v>
      </c>
      <c r="C7" s="23"/>
      <c r="D7" s="126"/>
    </row>
    <row r="8" spans="1:4" ht="20.05" customHeight="1" x14ac:dyDescent="0.3">
      <c r="A8" s="29" t="s">
        <v>287</v>
      </c>
      <c r="B8" s="23" t="s">
        <v>288</v>
      </c>
      <c r="C8" s="23"/>
      <c r="D8" s="126"/>
    </row>
    <row r="9" spans="1:4" ht="20.05" customHeight="1" x14ac:dyDescent="0.3">
      <c r="A9" s="29" t="s">
        <v>94</v>
      </c>
      <c r="B9" s="23" t="s">
        <v>328</v>
      </c>
      <c r="C9" s="23"/>
      <c r="D9" s="126"/>
    </row>
    <row r="10" spans="1:4" ht="20.05" customHeight="1" x14ac:dyDescent="0.3">
      <c r="A10" s="29" t="s">
        <v>289</v>
      </c>
      <c r="B10" s="21" t="s">
        <v>290</v>
      </c>
      <c r="C10" s="23"/>
      <c r="D10" s="126"/>
    </row>
    <row r="11" spans="1:4" ht="20.05" customHeight="1" x14ac:dyDescent="0.3">
      <c r="A11" s="29" t="s">
        <v>102</v>
      </c>
      <c r="B11" s="23" t="s">
        <v>291</v>
      </c>
      <c r="C11" s="23"/>
      <c r="D11" s="126"/>
    </row>
    <row r="12" spans="1:4" ht="20.05" customHeight="1" x14ac:dyDescent="0.3">
      <c r="A12" s="29" t="s">
        <v>292</v>
      </c>
      <c r="B12" s="23" t="s">
        <v>358</v>
      </c>
      <c r="C12" s="23"/>
      <c r="D12" s="126"/>
    </row>
    <row r="13" spans="1:4" ht="20.05" customHeight="1" x14ac:dyDescent="0.3">
      <c r="A13" s="30" t="s">
        <v>106</v>
      </c>
      <c r="B13" s="21" t="s">
        <v>357</v>
      </c>
      <c r="C13" s="23"/>
      <c r="D13" s="126"/>
    </row>
    <row r="14" spans="1:4" ht="20.05" customHeight="1" x14ac:dyDescent="0.3">
      <c r="A14" s="30" t="s">
        <v>134</v>
      </c>
      <c r="B14" s="21" t="s">
        <v>359</v>
      </c>
      <c r="C14" s="23"/>
      <c r="D14" s="126"/>
    </row>
    <row r="15" spans="1:4" ht="20.05" customHeight="1" x14ac:dyDescent="0.3">
      <c r="A15" s="30" t="s">
        <v>141</v>
      </c>
      <c r="B15" s="21" t="s">
        <v>362</v>
      </c>
      <c r="C15" s="23"/>
      <c r="D15" s="126"/>
    </row>
    <row r="16" spans="1:4" ht="20.05" customHeight="1" x14ac:dyDescent="0.3">
      <c r="A16" s="29" t="s">
        <v>151</v>
      </c>
      <c r="B16" s="21" t="s">
        <v>399</v>
      </c>
      <c r="C16" s="23" t="s">
        <v>333</v>
      </c>
      <c r="D16" s="126"/>
    </row>
    <row r="17" spans="1:4" ht="20.05" customHeight="1" x14ac:dyDescent="0.3">
      <c r="A17" s="29" t="s">
        <v>158</v>
      </c>
      <c r="B17" s="21" t="s">
        <v>400</v>
      </c>
      <c r="C17" s="23" t="s">
        <v>332</v>
      </c>
      <c r="D17" s="126"/>
    </row>
    <row r="18" spans="1:4" ht="20.05" customHeight="1" x14ac:dyDescent="0.3">
      <c r="A18" s="29" t="s">
        <v>153</v>
      </c>
      <c r="B18" s="23" t="s">
        <v>334</v>
      </c>
      <c r="C18" s="23"/>
      <c r="D18" s="126"/>
    </row>
    <row r="19" spans="1:4" ht="20.05" customHeight="1" x14ac:dyDescent="0.3">
      <c r="A19" s="29" t="s">
        <v>159</v>
      </c>
      <c r="B19" s="23" t="s">
        <v>335</v>
      </c>
      <c r="C19" s="23"/>
      <c r="D19" s="126"/>
    </row>
    <row r="20" spans="1:4" ht="20.05" customHeight="1" x14ac:dyDescent="0.3">
      <c r="A20" s="29" t="s">
        <v>130</v>
      </c>
      <c r="B20" s="23" t="s">
        <v>401</v>
      </c>
      <c r="C20" s="21" t="s">
        <v>347</v>
      </c>
      <c r="D20" s="126"/>
    </row>
    <row r="21" spans="1:4" ht="20.05" customHeight="1" x14ac:dyDescent="0.3">
      <c r="A21" s="30" t="s">
        <v>296</v>
      </c>
      <c r="B21" s="21" t="s">
        <v>360</v>
      </c>
      <c r="C21" s="23"/>
      <c r="D21" s="126"/>
    </row>
    <row r="22" spans="1:4" ht="20.05" customHeight="1" thickBot="1" x14ac:dyDescent="0.35">
      <c r="A22" s="31" t="s">
        <v>297</v>
      </c>
      <c r="B22" s="24" t="s">
        <v>361</v>
      </c>
      <c r="C22" s="35"/>
      <c r="D22" s="126"/>
    </row>
    <row r="23" spans="1:4" ht="20.05" customHeight="1" x14ac:dyDescent="0.3">
      <c r="A23" s="28" t="s">
        <v>301</v>
      </c>
      <c r="B23" s="33" t="s">
        <v>363</v>
      </c>
      <c r="C23" s="22" t="s">
        <v>366</v>
      </c>
      <c r="D23" s="129" t="s">
        <v>345</v>
      </c>
    </row>
    <row r="24" spans="1:4" ht="20.05" customHeight="1" x14ac:dyDescent="0.3">
      <c r="A24" s="29" t="s">
        <v>536</v>
      </c>
      <c r="B24" s="21" t="s">
        <v>364</v>
      </c>
      <c r="C24" s="21"/>
      <c r="D24" s="129"/>
    </row>
    <row r="25" spans="1:4" ht="20.05" customHeight="1" x14ac:dyDescent="0.3">
      <c r="A25" s="29" t="s">
        <v>537</v>
      </c>
      <c r="B25" s="21" t="s">
        <v>365</v>
      </c>
      <c r="C25" s="23"/>
      <c r="D25" s="129"/>
    </row>
    <row r="26" spans="1:4" ht="20.05" customHeight="1" x14ac:dyDescent="0.3">
      <c r="A26" s="29" t="s">
        <v>538</v>
      </c>
      <c r="B26" s="21" t="s">
        <v>539</v>
      </c>
      <c r="C26" s="23"/>
      <c r="D26" s="129"/>
    </row>
    <row r="27" spans="1:4" ht="20.05" customHeight="1" x14ac:dyDescent="0.3">
      <c r="A27" s="29" t="s">
        <v>507</v>
      </c>
      <c r="B27" s="21" t="s">
        <v>369</v>
      </c>
      <c r="C27" s="21"/>
      <c r="D27" s="129"/>
    </row>
    <row r="28" spans="1:4" ht="20.05" customHeight="1" x14ac:dyDescent="0.3">
      <c r="A28" s="30" t="s">
        <v>380</v>
      </c>
      <c r="B28" s="21" t="s">
        <v>370</v>
      </c>
      <c r="C28" s="21"/>
      <c r="D28" s="129"/>
    </row>
    <row r="29" spans="1:4" ht="20.05" customHeight="1" x14ac:dyDescent="0.3">
      <c r="A29" s="29" t="s">
        <v>185</v>
      </c>
      <c r="B29" s="23" t="s">
        <v>336</v>
      </c>
      <c r="C29" s="23" t="s">
        <v>415</v>
      </c>
      <c r="D29" s="129"/>
    </row>
    <row r="30" spans="1:4" ht="20.05" customHeight="1" x14ac:dyDescent="0.3">
      <c r="A30" s="29" t="s">
        <v>305</v>
      </c>
      <c r="B30" s="21" t="s">
        <v>367</v>
      </c>
      <c r="C30" s="23"/>
      <c r="D30" s="129"/>
    </row>
    <row r="31" spans="1:4" ht="20.05" customHeight="1" x14ac:dyDescent="0.3">
      <c r="A31" s="29" t="s">
        <v>307</v>
      </c>
      <c r="B31" s="21" t="s">
        <v>368</v>
      </c>
      <c r="C31" s="23"/>
      <c r="D31" s="129"/>
    </row>
    <row r="32" spans="1:4" ht="20.05" customHeight="1" x14ac:dyDescent="0.3">
      <c r="A32" s="30" t="s">
        <v>188</v>
      </c>
      <c r="B32" s="21" t="s">
        <v>371</v>
      </c>
      <c r="C32" s="23"/>
      <c r="D32" s="129"/>
    </row>
    <row r="33" spans="1:4" ht="20.05" customHeight="1" x14ac:dyDescent="0.3">
      <c r="A33" s="30" t="s">
        <v>196</v>
      </c>
      <c r="B33" s="21" t="s">
        <v>372</v>
      </c>
      <c r="C33" s="23"/>
      <c r="D33" s="129"/>
    </row>
    <row r="34" spans="1:4" ht="20.05" customHeight="1" x14ac:dyDescent="0.3">
      <c r="A34" s="30" t="s">
        <v>205</v>
      </c>
      <c r="B34" s="21" t="s">
        <v>373</v>
      </c>
      <c r="C34" s="23"/>
      <c r="D34" s="129"/>
    </row>
    <row r="35" spans="1:4" ht="20.05" customHeight="1" x14ac:dyDescent="0.3">
      <c r="A35" s="30" t="s">
        <v>209</v>
      </c>
      <c r="B35" s="21" t="s">
        <v>378</v>
      </c>
      <c r="C35" s="23" t="s">
        <v>379</v>
      </c>
      <c r="D35" s="129"/>
    </row>
    <row r="36" spans="1:4" ht="20.05" customHeight="1" x14ac:dyDescent="0.3">
      <c r="A36" s="30" t="s">
        <v>346</v>
      </c>
      <c r="B36" s="21" t="s">
        <v>374</v>
      </c>
      <c r="C36" s="23"/>
      <c r="D36" s="129"/>
    </row>
    <row r="37" spans="1:4" ht="20.05" customHeight="1" x14ac:dyDescent="0.3">
      <c r="A37" s="29" t="s">
        <v>439</v>
      </c>
      <c r="B37" s="21" t="s">
        <v>375</v>
      </c>
      <c r="C37" s="23"/>
      <c r="D37" s="129"/>
    </row>
    <row r="38" spans="1:4" ht="20.05" customHeight="1" x14ac:dyDescent="0.3">
      <c r="A38" s="29" t="s">
        <v>446</v>
      </c>
      <c r="B38" s="21" t="s">
        <v>376</v>
      </c>
      <c r="C38" s="23"/>
      <c r="D38" s="129"/>
    </row>
    <row r="39" spans="1:4" ht="20.05" customHeight="1" x14ac:dyDescent="0.3">
      <c r="A39" s="30" t="s">
        <v>450</v>
      </c>
      <c r="B39" s="21" t="s">
        <v>377</v>
      </c>
      <c r="C39" s="23"/>
      <c r="D39" s="129"/>
    </row>
    <row r="40" spans="1:4" ht="20.05" customHeight="1" x14ac:dyDescent="0.3">
      <c r="A40" s="30" t="s">
        <v>18</v>
      </c>
      <c r="B40" s="21" t="s">
        <v>544</v>
      </c>
      <c r="C40" s="23"/>
      <c r="D40" s="129"/>
    </row>
    <row r="41" spans="1:4" ht="20.05" customHeight="1" thickBot="1" x14ac:dyDescent="0.35">
      <c r="A41" s="34" t="s">
        <v>503</v>
      </c>
      <c r="B41" s="24" t="s">
        <v>381</v>
      </c>
      <c r="C41" s="35"/>
      <c r="D41" s="129"/>
    </row>
    <row r="42" spans="1:4" ht="20.05" customHeight="1" x14ac:dyDescent="0.3">
      <c r="A42" s="32" t="s">
        <v>339</v>
      </c>
      <c r="B42" s="33" t="s">
        <v>382</v>
      </c>
      <c r="C42" s="22"/>
      <c r="D42" s="126" t="s">
        <v>351</v>
      </c>
    </row>
    <row r="43" spans="1:4" ht="20.05" customHeight="1" x14ac:dyDescent="0.3">
      <c r="A43" s="30" t="s">
        <v>341</v>
      </c>
      <c r="B43" s="21" t="s">
        <v>383</v>
      </c>
      <c r="C43" s="23"/>
      <c r="D43" s="126"/>
    </row>
    <row r="44" spans="1:4" ht="20.05" customHeight="1" thickBot="1" x14ac:dyDescent="0.35">
      <c r="A44" s="34" t="s">
        <v>342</v>
      </c>
      <c r="B44" s="24" t="s">
        <v>384</v>
      </c>
      <c r="C44" s="35"/>
      <c r="D44" s="126"/>
    </row>
    <row r="45" spans="1:4" ht="20.05" customHeight="1" x14ac:dyDescent="0.3">
      <c r="A45" s="32" t="s">
        <v>338</v>
      </c>
      <c r="B45" s="33" t="s">
        <v>385</v>
      </c>
      <c r="C45" s="22"/>
      <c r="D45" s="129" t="s">
        <v>348</v>
      </c>
    </row>
    <row r="46" spans="1:4" ht="20.05" customHeight="1" x14ac:dyDescent="0.3">
      <c r="A46" s="30" t="s">
        <v>340</v>
      </c>
      <c r="B46" s="21" t="s">
        <v>386</v>
      </c>
      <c r="C46" s="23"/>
      <c r="D46" s="129"/>
    </row>
    <row r="47" spans="1:4" ht="20.05" customHeight="1" x14ac:dyDescent="0.3">
      <c r="A47" s="30" t="s">
        <v>540</v>
      </c>
      <c r="B47" s="21" t="s">
        <v>387</v>
      </c>
      <c r="C47" s="23"/>
      <c r="D47" s="129"/>
    </row>
    <row r="48" spans="1:4" ht="20.05" customHeight="1" x14ac:dyDescent="0.3">
      <c r="A48" s="29" t="s">
        <v>460</v>
      </c>
      <c r="B48" s="21" t="s">
        <v>388</v>
      </c>
      <c r="C48" s="23"/>
      <c r="D48" s="129"/>
    </row>
    <row r="49" spans="1:4" ht="20.05" customHeight="1" thickBot="1" x14ac:dyDescent="0.35">
      <c r="A49" s="29" t="s">
        <v>463</v>
      </c>
      <c r="B49" s="21" t="s">
        <v>402</v>
      </c>
      <c r="C49" s="23"/>
      <c r="D49" s="129"/>
    </row>
    <row r="50" spans="1:4" ht="20.05" customHeight="1" x14ac:dyDescent="0.3">
      <c r="A50" s="28" t="s">
        <v>308</v>
      </c>
      <c r="B50" s="33" t="s">
        <v>389</v>
      </c>
      <c r="C50" s="22"/>
      <c r="D50" s="129" t="s">
        <v>349</v>
      </c>
    </row>
    <row r="51" spans="1:4" ht="20.05" customHeight="1" x14ac:dyDescent="0.3">
      <c r="A51" s="29" t="s">
        <v>309</v>
      </c>
      <c r="B51" s="23" t="s">
        <v>390</v>
      </c>
      <c r="C51" s="23"/>
      <c r="D51" s="129"/>
    </row>
    <row r="52" spans="1:4" ht="20.05" customHeight="1" x14ac:dyDescent="0.3">
      <c r="A52" s="29" t="s">
        <v>310</v>
      </c>
      <c r="B52" s="21" t="s">
        <v>391</v>
      </c>
      <c r="C52" s="23"/>
      <c r="D52" s="129"/>
    </row>
    <row r="53" spans="1:4" ht="20.05" customHeight="1" x14ac:dyDescent="0.3">
      <c r="A53" s="30" t="s">
        <v>295</v>
      </c>
      <c r="B53" s="21" t="s">
        <v>331</v>
      </c>
      <c r="C53" s="23"/>
      <c r="D53" s="129"/>
    </row>
    <row r="54" spans="1:4" ht="20.05" customHeight="1" x14ac:dyDescent="0.3">
      <c r="A54" s="29" t="s">
        <v>311</v>
      </c>
      <c r="B54" s="23" t="s">
        <v>392</v>
      </c>
      <c r="C54" s="23"/>
      <c r="D54" s="129"/>
    </row>
    <row r="55" spans="1:4" ht="20.05" customHeight="1" x14ac:dyDescent="0.3">
      <c r="A55" s="29" t="s">
        <v>312</v>
      </c>
      <c r="B55" s="21" t="s">
        <v>355</v>
      </c>
      <c r="C55" s="23"/>
      <c r="D55" s="129"/>
    </row>
    <row r="56" spans="1:4" ht="20.05" customHeight="1" x14ac:dyDescent="0.3">
      <c r="A56" s="29" t="s">
        <v>313</v>
      </c>
      <c r="B56" s="21" t="s">
        <v>344</v>
      </c>
      <c r="C56" s="21"/>
      <c r="D56" s="129"/>
    </row>
    <row r="57" spans="1:4" ht="20.05" customHeight="1" x14ac:dyDescent="0.3">
      <c r="A57" s="29" t="s">
        <v>314</v>
      </c>
      <c r="B57" s="21" t="s">
        <v>343</v>
      </c>
      <c r="C57" s="21"/>
      <c r="D57" s="129"/>
    </row>
    <row r="58" spans="1:4" ht="20.05" customHeight="1" x14ac:dyDescent="0.3">
      <c r="A58" s="29" t="s">
        <v>315</v>
      </c>
      <c r="B58" s="23" t="s">
        <v>316</v>
      </c>
      <c r="C58" s="21"/>
      <c r="D58" s="129"/>
    </row>
    <row r="59" spans="1:4" ht="20.05" customHeight="1" x14ac:dyDescent="0.3">
      <c r="A59" s="29" t="s">
        <v>317</v>
      </c>
      <c r="B59" s="23" t="s">
        <v>318</v>
      </c>
      <c r="C59" s="21"/>
      <c r="D59" s="129"/>
    </row>
    <row r="60" spans="1:4" ht="20.05" customHeight="1" x14ac:dyDescent="0.3">
      <c r="A60" s="29" t="s">
        <v>319</v>
      </c>
      <c r="B60" s="21" t="s">
        <v>356</v>
      </c>
      <c r="C60" s="21"/>
      <c r="D60" s="129"/>
    </row>
    <row r="61" spans="1:4" ht="20.05" customHeight="1" x14ac:dyDescent="0.3">
      <c r="A61" s="29" t="s">
        <v>320</v>
      </c>
      <c r="B61" s="21" t="s">
        <v>393</v>
      </c>
      <c r="C61" s="21"/>
      <c r="D61" s="129"/>
    </row>
    <row r="62" spans="1:4" ht="20.05" customHeight="1" x14ac:dyDescent="0.3">
      <c r="A62" s="29" t="s">
        <v>293</v>
      </c>
      <c r="B62" s="23" t="s">
        <v>330</v>
      </c>
      <c r="C62" s="21"/>
      <c r="D62" s="129"/>
    </row>
    <row r="63" spans="1:4" ht="20.05" customHeight="1" x14ac:dyDescent="0.3">
      <c r="A63" s="30" t="s">
        <v>294</v>
      </c>
      <c r="B63" s="21" t="s">
        <v>394</v>
      </c>
      <c r="C63" s="21"/>
      <c r="D63" s="129"/>
    </row>
    <row r="64" spans="1:4" ht="20.05" customHeight="1" x14ac:dyDescent="0.3">
      <c r="A64" s="29" t="s">
        <v>321</v>
      </c>
      <c r="B64" s="21" t="s">
        <v>395</v>
      </c>
      <c r="C64" s="21" t="s">
        <v>398</v>
      </c>
      <c r="D64" s="129"/>
    </row>
    <row r="65" spans="1:4" ht="20.05" customHeight="1" x14ac:dyDescent="0.3">
      <c r="A65" s="30" t="s">
        <v>322</v>
      </c>
      <c r="B65" s="21" t="s">
        <v>396</v>
      </c>
      <c r="C65" s="21" t="s">
        <v>397</v>
      </c>
      <c r="D65" s="129"/>
    </row>
    <row r="66" spans="1:4" ht="20.05" customHeight="1" x14ac:dyDescent="0.3">
      <c r="A66" s="29" t="s">
        <v>323</v>
      </c>
      <c r="B66" s="21" t="s">
        <v>403</v>
      </c>
      <c r="C66" s="23"/>
      <c r="D66" s="129"/>
    </row>
    <row r="67" spans="1:4" ht="20.05" customHeight="1" x14ac:dyDescent="0.3">
      <c r="A67" s="29" t="s">
        <v>324</v>
      </c>
      <c r="B67" s="21" t="s">
        <v>404</v>
      </c>
      <c r="C67" s="21"/>
      <c r="D67" s="129"/>
    </row>
    <row r="68" spans="1:4" ht="20.05" customHeight="1" x14ac:dyDescent="0.3">
      <c r="A68" s="29" t="s">
        <v>327</v>
      </c>
      <c r="B68" s="21" t="s">
        <v>405</v>
      </c>
      <c r="C68" s="21" t="s">
        <v>347</v>
      </c>
      <c r="D68" s="129"/>
    </row>
    <row r="69" spans="1:4" ht="20.05" customHeight="1" x14ac:dyDescent="0.3">
      <c r="A69" s="29" t="s">
        <v>325</v>
      </c>
      <c r="B69" s="21" t="s">
        <v>406</v>
      </c>
      <c r="C69" s="23"/>
      <c r="D69" s="129"/>
    </row>
    <row r="70" spans="1:4" ht="20.05" customHeight="1" thickBot="1" x14ac:dyDescent="0.35">
      <c r="A70" s="29" t="s">
        <v>326</v>
      </c>
      <c r="B70" s="21" t="s">
        <v>407</v>
      </c>
      <c r="C70" s="23"/>
      <c r="D70" s="129"/>
    </row>
    <row r="71" spans="1:4" ht="20.05" customHeight="1" x14ac:dyDescent="0.3">
      <c r="A71" s="28" t="s">
        <v>176</v>
      </c>
      <c r="B71" s="22" t="s">
        <v>408</v>
      </c>
      <c r="C71" s="22"/>
      <c r="D71" s="126" t="s">
        <v>352</v>
      </c>
    </row>
    <row r="72" spans="1:4" ht="20.05" customHeight="1" x14ac:dyDescent="0.3">
      <c r="A72" s="30" t="s">
        <v>300</v>
      </c>
      <c r="B72" s="21" t="s">
        <v>409</v>
      </c>
      <c r="C72" s="23"/>
      <c r="D72" s="126"/>
    </row>
    <row r="73" spans="1:4" ht="20.05" customHeight="1" x14ac:dyDescent="0.3">
      <c r="A73" s="29" t="s">
        <v>302</v>
      </c>
      <c r="B73" s="21" t="s">
        <v>410</v>
      </c>
      <c r="C73" s="23"/>
      <c r="D73" s="126"/>
    </row>
    <row r="74" spans="1:4" ht="20.05" customHeight="1" x14ac:dyDescent="0.3">
      <c r="A74" s="29" t="s">
        <v>303</v>
      </c>
      <c r="B74" s="21" t="s">
        <v>411</v>
      </c>
      <c r="C74" s="23"/>
      <c r="D74" s="126"/>
    </row>
    <row r="75" spans="1:4" ht="20.05" customHeight="1" x14ac:dyDescent="0.3">
      <c r="A75" s="29" t="s">
        <v>304</v>
      </c>
      <c r="B75" s="21" t="s">
        <v>412</v>
      </c>
      <c r="C75" s="23"/>
      <c r="D75" s="126"/>
    </row>
    <row r="76" spans="1:4" ht="20.05" customHeight="1" x14ac:dyDescent="0.3">
      <c r="A76" s="29" t="s">
        <v>306</v>
      </c>
      <c r="B76" s="21" t="s">
        <v>413</v>
      </c>
      <c r="C76" s="23"/>
      <c r="D76" s="126"/>
    </row>
    <row r="77" spans="1:4" ht="20.05" customHeight="1" x14ac:dyDescent="0.3">
      <c r="A77" s="29" t="s">
        <v>298</v>
      </c>
      <c r="B77" s="23" t="s">
        <v>329</v>
      </c>
      <c r="C77" s="23"/>
      <c r="D77" s="126"/>
    </row>
    <row r="78" spans="1:4" ht="20.05" customHeight="1" thickBot="1" x14ac:dyDescent="0.35">
      <c r="A78" s="34" t="s">
        <v>299</v>
      </c>
      <c r="B78" s="35" t="s">
        <v>414</v>
      </c>
      <c r="C78" s="35"/>
      <c r="D78" s="127"/>
    </row>
    <row r="79" spans="1:4" ht="20.05" customHeight="1" x14ac:dyDescent="0.3"/>
    <row r="80" spans="1:4" ht="20.05" customHeight="1" x14ac:dyDescent="0.3">
      <c r="A80" s="23" t="s">
        <v>81</v>
      </c>
      <c r="B80" t="s">
        <v>541</v>
      </c>
    </row>
    <row r="81" spans="1:3" ht="20.05" customHeight="1" x14ac:dyDescent="0.3">
      <c r="A81" s="23" t="s">
        <v>74</v>
      </c>
      <c r="B81" t="s">
        <v>542</v>
      </c>
    </row>
    <row r="82" spans="1:3" ht="20.05" customHeight="1" x14ac:dyDescent="0.3"/>
    <row r="83" spans="1:3" ht="20.05" customHeight="1" x14ac:dyDescent="0.3"/>
    <row r="84" spans="1:3" ht="20.05" customHeight="1" x14ac:dyDescent="0.3"/>
    <row r="85" spans="1:3" ht="20.05" customHeight="1" x14ac:dyDescent="0.3"/>
    <row r="86" spans="1:3" ht="20.05" customHeight="1" x14ac:dyDescent="0.3"/>
    <row r="87" spans="1:3" ht="20.05" customHeight="1" x14ac:dyDescent="0.3"/>
    <row r="88" spans="1:3" ht="20.05" customHeight="1" x14ac:dyDescent="0.3"/>
    <row r="89" spans="1:3" ht="20.05" customHeight="1" x14ac:dyDescent="0.3">
      <c r="C89" s="20"/>
    </row>
    <row r="90" spans="1:3" ht="20.05" customHeight="1" x14ac:dyDescent="0.3">
      <c r="C90" s="20"/>
    </row>
    <row r="91" spans="1:3" ht="20.05" customHeight="1" x14ac:dyDescent="0.3">
      <c r="C91" s="20"/>
    </row>
    <row r="92" spans="1:3" ht="20.05" customHeight="1" x14ac:dyDescent="0.3">
      <c r="C92" s="20"/>
    </row>
    <row r="93" spans="1:3" ht="20.05" customHeight="1" x14ac:dyDescent="0.3"/>
    <row r="94" spans="1:3" ht="20.05" customHeight="1" x14ac:dyDescent="0.3"/>
    <row r="95" spans="1:3" ht="20.05" customHeight="1" x14ac:dyDescent="0.3"/>
    <row r="96" spans="1:3" ht="20.05" customHeight="1" x14ac:dyDescent="0.3"/>
    <row r="97" spans="3:3" ht="20.05" customHeight="1" x14ac:dyDescent="0.3"/>
    <row r="98" spans="3:3" ht="20.05" customHeight="1" x14ac:dyDescent="0.3"/>
    <row r="99" spans="3:3" ht="20.05" customHeight="1" x14ac:dyDescent="0.3"/>
    <row r="100" spans="3:3" ht="20.05" customHeight="1" x14ac:dyDescent="0.3"/>
    <row r="101" spans="3:3" ht="20.05" customHeight="1" x14ac:dyDescent="0.3"/>
    <row r="102" spans="3:3" ht="20.05" customHeight="1" x14ac:dyDescent="0.3"/>
    <row r="103" spans="3:3" ht="20.05" customHeight="1" x14ac:dyDescent="0.3">
      <c r="C103" s="20"/>
    </row>
    <row r="104" spans="3:3" ht="20.05" customHeight="1" x14ac:dyDescent="0.3">
      <c r="C104" s="20"/>
    </row>
    <row r="105" spans="3:3" ht="20.05" customHeight="1" x14ac:dyDescent="0.3">
      <c r="C105" s="20"/>
    </row>
    <row r="106" spans="3:3" ht="20.05" customHeight="1" x14ac:dyDescent="0.3">
      <c r="C106" s="20"/>
    </row>
    <row r="107" spans="3:3" ht="20.05" customHeight="1" x14ac:dyDescent="0.3"/>
    <row r="108" spans="3:3" ht="20.05" customHeight="1" x14ac:dyDescent="0.3"/>
    <row r="109" spans="3:3" ht="20.05" customHeight="1" x14ac:dyDescent="0.3"/>
    <row r="110" spans="3:3" ht="20.05" customHeight="1" x14ac:dyDescent="0.3"/>
    <row r="116" spans="2:2" x14ac:dyDescent="0.3">
      <c r="B116" s="21"/>
    </row>
    <row r="117" spans="2:2" x14ac:dyDescent="0.3">
      <c r="B117" s="21"/>
    </row>
  </sheetData>
  <mergeCells count="6">
    <mergeCell ref="D71:D78"/>
    <mergeCell ref="D2:D22"/>
    <mergeCell ref="D23:D41"/>
    <mergeCell ref="D42:D44"/>
    <mergeCell ref="D45:D49"/>
    <mergeCell ref="D50:D7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281</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Qualtrics</vt:lpstr>
      <vt:lpstr>Sample Definition</vt:lpstr>
      <vt:lpstr>NLP_Measurements</vt:lpstr>
      <vt:lpstr>Nice_Names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Amin</dc:creator>
  <dc:description/>
  <cp:lastModifiedBy>Amin Rahmati</cp:lastModifiedBy>
  <cp:revision>120</cp:revision>
  <dcterms:created xsi:type="dcterms:W3CDTF">2026-02-24T01:06:28Z</dcterms:created>
  <dcterms:modified xsi:type="dcterms:W3CDTF">2026-03-11T18:09:15Z</dcterms:modified>
  <dc:language>en-IN</dc:language>
</cp:coreProperties>
</file>